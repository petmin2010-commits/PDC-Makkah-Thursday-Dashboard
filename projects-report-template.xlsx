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/>
  <mc:AlternateContent xmlns:mc="http://schemas.openxmlformats.org/markup-compatibility/2006">
    <mc:Choice Requires="x15">
      <x15ac:absPath xmlns:x15ac="http://schemas.microsoft.com/office/spreadsheetml/2010/11/ac" url="C:\Users\HOME\Downloads\"/>
    </mc:Choice>
  </mc:AlternateContent>
  <xr:revisionPtr revIDLastSave="0" documentId="13_ncr:1_{741E3EE1-9757-4CB4-9F159-83C590743076}" xr6:coauthVersionLast="45" xr6:coauthVersionMax="45" xr10:uidLastSave="{00000000-0000-0000-0000-000000000000}"/>
  <bookViews>
    <workbookView xWindow="-108" yWindow="-108" windowWidth="23256" windowHeight="12456" tabRatio="500" xr2:uid="{00000000-000D-0000-FFFF-FFFF0}"/>
  </bookViews>
  <sheets>
    <sheet name="تقرير المشروع" sheetId="1" r:id="rId1"/>
    <sheet name="سجل الإنجاز اليومي" sheetId="2" r:id="rId2"/>
    <sheet name="صور التنفيذ بالموقع" sheetId="3" r:id="rId3"/>
    <sheet name="القوائم" sheetId="4" r:id="rId4"/>
  </sheets>
  <definedNames>
    <definedName name="_xlnm.Print_Area" localSheetId="0">'تقرير المشروع'!$A$1:$I$204</definedName>
  </definedNames>
  <calcPr calcId="191029"/>
  <extLst>
    <ext xmlns:xcalcf="http://schemas.microsoft.com/office/spreadsheetml/2018/calcfeatures" uri="{B106B504-4F1F-4190-BB160-5DF3683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81" i="1" l="1"/>
  <c r="H164" i="1"/>
  <c r="H163" i="1"/>
  <c r="H162" i="1"/>
  <c r="H161" i="1"/>
  <c r="G158" i="1"/>
  <c r="I158" i="1" s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F40" i="1"/>
  <c r="E40" i="1"/>
  <c r="F39" i="1"/>
  <c r="E39" i="1"/>
  <c r="F38" i="1"/>
  <c r="E38" i="1"/>
  <c r="F37" i="1"/>
  <c r="E37" i="1"/>
  <c r="F36" i="1"/>
  <c r="E36" i="1"/>
  <c r="H33" i="1"/>
  <c r="I33" i="1" s="1"/>
  <c r="E33" i="1"/>
  <c r="D33" i="1"/>
  <c r="K19" i="1"/>
  <c r="G19" i="1"/>
  <c r="F19" i="1"/>
  <c r="K18" i="1"/>
  <c r="G18" i="1"/>
  <c r="F18" i="1"/>
  <c r="G17" i="1"/>
  <c r="K16" i="1"/>
  <c r="G16" i="1"/>
  <c r="F16" i="1"/>
  <c r="K15" i="1"/>
  <c r="G15" i="1"/>
  <c r="F15" i="1"/>
  <c r="C14" i="1"/>
  <c r="G14" i="1" s="1"/>
  <c r="K13" i="1"/>
  <c r="G13" i="1"/>
  <c r="F13" i="1"/>
  <c r="F10" i="1"/>
  <c r="H7" i="1"/>
  <c r="F7" i="1"/>
  <c r="F14" i="1" l="1"/>
  <c r="F33" i="1" s="1"/>
  <c r="K14" i="1"/>
  <c r="A10" i="1" s="1"/>
  <c r="C33" i="1"/>
  <c r="H10" i="1" l="1"/>
  <c r="D10" i="1"/>
  <c r="E10" i="1" s="1"/>
  <c r="G33" i="1"/>
</calcChain>
</file>

<file path=xl/sharedStrings.xml><?xml version="1.0" encoding="utf-8"?>
<sst xmlns="http://schemas.openxmlformats.org/spreadsheetml/2006/main" count="396" uniqueCount="200">
  <si>
    <t>قطاع مشاريع التوزيع  —  الشركة السعودية للكهرباء
إدارة مشاريع التوزيع (PDC)</t>
  </si>
  <si>
    <t>التقرير الدوري لمتابعة تنفيذ المشروع</t>
  </si>
  <si>
    <t>رقم المقايسة / أمر العمل</t>
  </si>
  <si>
    <t>نوع التقرير</t>
  </si>
  <si>
    <t>يومي</t>
  </si>
  <si>
    <t>تاريخ التقرير</t>
  </si>
  <si>
    <t>رقم التقرير</t>
  </si>
  <si>
    <t>001</t>
  </si>
  <si>
    <t>اسم المشروع</t>
  </si>
  <si>
    <t>الموقع / المنطقة</t>
  </si>
  <si>
    <t>وصف العمل</t>
  </si>
  <si>
    <t>المقاول</t>
  </si>
  <si>
    <t>الاستشاري</t>
  </si>
  <si>
    <t>مهندس المتابعة (SEC)</t>
  </si>
  <si>
    <t>تاريخ بدء التنفيذ</t>
  </si>
  <si>
    <t>تاريخ التشغيل المتوقع</t>
  </si>
  <si>
    <t>المدة التعاقدية (يوم)</t>
  </si>
  <si>
    <t>المتبقي على التشغيل (يوم)</t>
  </si>
  <si>
    <t>◄ أولاً: مؤشرات أداء المشروع</t>
  </si>
  <si>
    <t>نسبة الإنجاز الكلية</t>
  </si>
  <si>
    <t>نسبة الإنجاز المخططة</t>
  </si>
  <si>
    <t>الانحراف</t>
  </si>
  <si>
    <t>حالة المشروع</t>
  </si>
  <si>
    <t>إنجاز الفترة</t>
  </si>
  <si>
    <t>المعدل اليومي المطلوب</t>
  </si>
  <si>
    <t>◄ ثانياً: الكميات ونسب التنفيذ</t>
  </si>
  <si>
    <t>البند</t>
  </si>
  <si>
    <t>الوحدة</t>
  </si>
  <si>
    <t>الكمية المخططة</t>
  </si>
  <si>
    <t>إجمالي المنفذ</t>
  </si>
  <si>
    <t>المنفذ خلال الفترة</t>
  </si>
  <si>
    <t>المتبقي</t>
  </si>
  <si>
    <t>نسبة الإنجاز</t>
  </si>
  <si>
    <t>الوزن %</t>
  </si>
  <si>
    <t>الحالة</t>
  </si>
  <si>
    <t>M</t>
  </si>
  <si>
    <t>متقدم</t>
  </si>
  <si>
    <t>EA</t>
  </si>
  <si>
    <t>حسب المخطط</t>
  </si>
  <si>
    <t>نهايات الكابلات الأرضية</t>
  </si>
  <si>
    <t>KIT</t>
  </si>
  <si>
    <t>الإجمالي / المتوسط المرجّح</t>
  </si>
  <si>
    <t>◄ ثالثاً: المواد (المطلوب / المنصرف / المتبقي)</t>
  </si>
  <si>
    <t>المادة</t>
  </si>
  <si>
    <t>الكمية المطلوبة</t>
  </si>
  <si>
    <t>المنصرف</t>
  </si>
  <si>
    <t>نسبة الصرف</t>
  </si>
  <si>
    <t>حالة الصرف</t>
  </si>
  <si>
    <t>ملاحظات</t>
  </si>
  <si>
    <t>تم الصرف جزئي</t>
  </si>
  <si>
    <t>لم يتم الصرف</t>
  </si>
  <si>
    <t>LS</t>
  </si>
  <si>
    <t>تم الصرف بالكامل</t>
  </si>
  <si>
    <t>◄ رابعاً: التصاريح والرخص</t>
  </si>
  <si>
    <t>رقم التصريح</t>
  </si>
  <si>
    <t>الجهة المصدرة</t>
  </si>
  <si>
    <t>الموقع / الحي</t>
  </si>
  <si>
    <t>حالة التصريح</t>
  </si>
  <si>
    <t>تاريخ البدء</t>
  </si>
  <si>
    <t>تاريخ الانتهاء</t>
  </si>
  <si>
    <t>الطول (م)</t>
  </si>
  <si>
    <t>المنجز (م)</t>
  </si>
  <si>
    <t>أمانة المنطقة</t>
  </si>
  <si>
    <t>تم الإصدار</t>
  </si>
  <si>
    <t>إجمالي التصاريح</t>
  </si>
  <si>
    <t>◄ خامساً: أبرز التحديات والعوائق وحالة كل تحدي</t>
  </si>
  <si>
    <t>التحدي / العائق</t>
  </si>
  <si>
    <t>التصنيف</t>
  </si>
  <si>
    <t>درجة الأثر</t>
  </si>
  <si>
    <t>الإجراء المتخذ</t>
  </si>
  <si>
    <t>الجهة المسؤولة</t>
  </si>
  <si>
    <t>تاريخ الرصد</t>
  </si>
  <si>
    <t>عمر العائق (يوم)</t>
  </si>
  <si>
    <t>صرف المواد</t>
  </si>
  <si>
    <t>مواد</t>
  </si>
  <si>
    <t>عالي</t>
  </si>
  <si>
    <t>قيد المتابعة</t>
  </si>
  <si>
    <t>تداخل الشبكات بين النقل والتوزيع</t>
  </si>
  <si>
    <t>تنسيق جهات</t>
  </si>
  <si>
    <t>قطاع النقل</t>
  </si>
  <si>
    <t>قيد التحديث</t>
  </si>
  <si>
    <t>أعمال مدنية/تربة</t>
  </si>
  <si>
    <t>متوسط</t>
  </si>
  <si>
    <t>قيد التنفيذ</t>
  </si>
  <si>
    <t>◄ سادساً: ملخص المنفذ خلال الفترة</t>
  </si>
  <si>
    <t>◄ سابعاً: ملاحظات وتنبيهات / الإجراءات المطلوبة والدعم المطلوب من الإدارة</t>
  </si>
  <si>
    <t>◄ ثامناً: الرسوم البيانية</t>
  </si>
  <si>
    <t>معد التقرير (الاستشاري / مهندس المتابعة)</t>
  </si>
  <si>
    <t>مراجعة: رئيس القسم</t>
  </si>
  <si>
    <t>سجل الإنجاز اليومي / الأسبوعي للمشروع</t>
  </si>
  <si>
    <t>التاريخ</t>
  </si>
  <si>
    <t>نسبة الإنجاز الكلية %</t>
  </si>
  <si>
    <t>المنفذ خلال اليوم (كمية)</t>
  </si>
  <si>
    <t>المستهدف اليومي (كمية)</t>
  </si>
  <si>
    <t>ملخص الأعمال المنفذة</t>
  </si>
  <si>
    <t>معد التقرير</t>
  </si>
  <si>
    <t>صور التنفيذ بالموقع  (تُلصق الصور داخل الإطارات — يشترط أن تحتوي الصورة على التاريخ والإحداثيات)</t>
  </si>
  <si>
    <t>حالة البند</t>
  </si>
  <si>
    <t>حالة العائق</t>
  </si>
  <si>
    <t>حالة صرف المواد</t>
  </si>
  <si>
    <t>تصنيف العائق</t>
  </si>
  <si>
    <t>قيد التنسيق والاعتماد</t>
  </si>
  <si>
    <t>أسبوعي</t>
  </si>
  <si>
    <t>تصاريح</t>
  </si>
  <si>
    <t>متأخر</t>
  </si>
  <si>
    <t>مسودة تصريح</t>
  </si>
  <si>
    <t>منخفض</t>
  </si>
  <si>
    <t>تحت المتابعة</t>
  </si>
  <si>
    <t>قيد الطلب</t>
  </si>
  <si>
    <t>منتهي</t>
  </si>
  <si>
    <t>تصميم</t>
  </si>
  <si>
    <t>مكتمل</t>
  </si>
  <si>
    <t>قيد التحقق</t>
  </si>
  <si>
    <t>مرفوض</t>
  </si>
  <si>
    <t>KM</t>
  </si>
  <si>
    <t>لم يبدأ</t>
  </si>
  <si>
    <t>قيد التنسيق</t>
  </si>
  <si>
    <t>عمالة/معدات</t>
  </si>
  <si>
    <t>NO</t>
  </si>
  <si>
    <t>جاري</t>
  </si>
  <si>
    <t>تم الحل</t>
  </si>
  <si>
    <t>سلامة</t>
  </si>
  <si>
    <t>أخرى</t>
  </si>
  <si>
    <t>تعليمات الاستخدام:</t>
  </si>
  <si>
    <t>1) هذا الملف يمثل «تقرير مشروع واحد». يُنسخ الملف لكل مشروع ويُسمّى برقم المقايسة/أمر العمل.</t>
  </si>
  <si>
    <t>2) الخلايا الزرقاء = إدخال يدوي، والخلايا السوداء = صيغ محسوبة تلقائياً (لا تُعدّل).</t>
  </si>
  <si>
    <t>3) عبّئ «الكمية المخططة» و«إجمالي المنفذ» و«المنفذ خلال الفترة» و«الوزن %» لكل بند — وتُحسب النسب والإجماليات آلياً.</t>
  </si>
  <si>
    <t>4) مجموع الأوزان لكل البنود يجب أن يساوي 100% (تظهر إشارة تنبيه بجانب صف الإجمالي إذا اختلّ المجموع).</t>
  </si>
  <si>
    <t>5) نسبة الإنجاز الكلية = مجموع (وزن البند × نسبة إنجاز البند)، وتُحدَّث تلقائياً مع كل تحديث للكميات.</t>
  </si>
  <si>
    <t>6) للتقرير اليومي: غيّر «نوع التقرير» و«تاريخ التقرير»، وحدّث «المنفذ خلال الفترة»، ثم أضف سطراً في ورقة «سجل الإنجاز اليومي».</t>
  </si>
  <si>
    <t>7) للتقرير الأسبوعي: نفس الخطوات مع جعل «المنفذ خلال الفترة» = منفذ الأسبوع كاملاً.</t>
  </si>
  <si>
    <t>8) ورقة «تقرير المشروع» مُعدّة للطباعة على صفحة A4 واحدة (Ctrl+P) أو التصدير PDF لإرسالها للإدارة.</t>
  </si>
  <si>
    <t>9) تُلصق صور الموقع في ورقة «صور التنفيذ بالموقع» على أن تتضمن التاريخ والإحداثيات كما في النماذج المعتمدة.</t>
  </si>
  <si>
    <t>اعتماد: مدير الدائرة/ الإدارة</t>
  </si>
  <si>
    <t>مكة المكرمة / العمرة</t>
  </si>
  <si>
    <t>ربط محطة العمرة</t>
  </si>
  <si>
    <t>الشعاع الصاعد</t>
  </si>
  <si>
    <t>سمير ابوغلية</t>
  </si>
  <si>
    <t>تمديد كابلات 3*500 (15 ك.ف)</t>
  </si>
  <si>
    <t>م/ عبدالله اللهيبي</t>
  </si>
  <si>
    <t>مكة المكرمة</t>
  </si>
  <si>
    <t>وصلات الكابلات الأرضية</t>
  </si>
  <si>
    <t>تشغيل المغذيات</t>
  </si>
  <si>
    <t>استبدالات S-RMU</t>
  </si>
  <si>
    <t>SLBS</t>
  </si>
  <si>
    <t xml:space="preserve">SLBSتركيب </t>
  </si>
  <si>
    <t xml:space="preserve"> كابلات 3*500 (15 ك.ف)</t>
  </si>
  <si>
    <t xml:space="preserve"> S-RMU</t>
  </si>
  <si>
    <t xml:space="preserve">متابعة يومية </t>
  </si>
  <si>
    <t>الانشاءات</t>
  </si>
  <si>
    <t>480225050782 طوارئ</t>
  </si>
  <si>
    <t>480225052201طوارئ</t>
  </si>
  <si>
    <t>480225114490طوارئ</t>
  </si>
  <si>
    <t>480225232331طوارئ</t>
  </si>
  <si>
    <t>480225231665طوارئ</t>
  </si>
  <si>
    <t>480225219389طوارئ</t>
  </si>
  <si>
    <t>480225051024طوارئ</t>
  </si>
  <si>
    <t>480225159156طوارئ</t>
  </si>
  <si>
    <t>480225051800طوارئ</t>
  </si>
  <si>
    <t>480225095740طوارئ</t>
  </si>
  <si>
    <t>480225370229طوارئ</t>
  </si>
  <si>
    <t>480225315685طوارئ</t>
  </si>
  <si>
    <t>تصاريح المرور</t>
  </si>
  <si>
    <t>التنسيق مع قطاع النقل</t>
  </si>
  <si>
    <t>16/072026</t>
  </si>
  <si>
    <t>المرور</t>
  </si>
  <si>
    <t>التنسيق مع المرور</t>
  </si>
  <si>
    <t>بابكر شيخ ادريس</t>
  </si>
  <si>
    <t>تشغيل محطة العمرة تعزيز وربط مغذيات وتخفيف ومناقلة احمال</t>
  </si>
  <si>
    <t>الحفر</t>
  </si>
  <si>
    <t>(SLBS) :  الإسراع بصرف المواد المتبقية لاستكمال الاعمال  .</t>
  </si>
  <si>
    <t>التأخر في تشغيل المحطة وادخال الكابلات</t>
  </si>
  <si>
    <t>حفر لاستخراج الكابلات</t>
  </si>
  <si>
    <t xml:space="preserve">حفر لاستخراج الكابلات+تمديد وصلات </t>
  </si>
  <si>
    <t>فتح مداخل الكابلات بمحطة التحويل</t>
  </si>
  <si>
    <t>تمديد كابلات داخل محطة التحويل</t>
  </si>
  <si>
    <t>صناديق لحام</t>
  </si>
  <si>
    <t>تركيب حوامل كابلات للخلايا من 11-28</t>
  </si>
  <si>
    <t>دهان الكابلات</t>
  </si>
  <si>
    <t>حفر لاستخراج الكابلات(الهاجدية)</t>
  </si>
  <si>
    <t>تجهيز 10 كابلات لعمل النهايات داخل محطة التحويل</t>
  </si>
  <si>
    <t>عمل نهايات داخل محطة التحويل</t>
  </si>
  <si>
    <t>تقفيل فتحات</t>
  </si>
  <si>
    <t>فتح مربعات وفحص</t>
  </si>
  <si>
    <t>إعادة اسفلت</t>
  </si>
  <si>
    <t>م/بابكر شيخ ادريس</t>
  </si>
  <si>
    <t>تركيب نهاية جهد متوسط +تشغيل مغذي</t>
  </si>
  <si>
    <t>طلب ملغي</t>
  </si>
  <si>
    <t>لا توجد اعمال لليوم</t>
  </si>
  <si>
    <t>صندوق لحام+تشغيل مغذي</t>
  </si>
  <si>
    <t>تركيب نهاية جهد متوسط +تشغيل مغذي+صندوق لحام</t>
  </si>
  <si>
    <t>لم يتم العمل اليوم بسبب وجود سيارة اعاقت اكمال العمل</t>
  </si>
  <si>
    <t>تركيب 4نهاية جهد متوسط +تشغيل2 مغذي+3صندوق لحام(يشمل اعمال اليوم السابق)</t>
  </si>
  <si>
    <t>ؤ</t>
  </si>
  <si>
    <t xml:space="preserve">لا توجد اعمال - لا توجد برامج مجدولة </t>
  </si>
  <si>
    <t>عمل 4 صندوق لحام جهد متوسط وتشغيل مغذي</t>
  </si>
  <si>
    <t>وصلة جهد متوسط+ نهاية جهد متوسط + تشغيل مغذيين</t>
  </si>
  <si>
    <t>حفر 636 + تمديد كابل 500 بطول 4300 + عمل42 نهاية + عمل68 وصلة</t>
  </si>
  <si>
    <t>استبدال وحدة حلقية +3 نهايات جهد متوسط + تشغيل مغذي</t>
  </si>
  <si>
    <t>استبدال RMU وتركيب نهايات جهد متوسط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</si>
</sst>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0.0%"/>
  </numFmts>
  <fonts count="26" x14ac:knownFonts="1">
    <font>
      <sz val="11"/>
      <name val="Calibri"/>
    </font>
    <font>
      <b/>
      <sz val="12"/>
      <color rgb="FFFFFFFF"/>
      <name val="Arial"/>
    </font>
    <font>
      <b/>
      <sz val="13"/>
      <color rgb="FFFFFFFF"/>
      <name val="Arial"/>
    </font>
    <font>
      <b/>
      <sz val="10"/>
      <color rgb="FF1F3864"/>
      <name val="Arial"/>
    </font>
    <font>
      <b/>
      <sz val="12"/>
      <color rgb="FF0000FF"/>
      <name val="Arial"/>
    </font>
    <font>
      <b/>
      <sz val="10"/>
      <color rgb="FF0000FF"/>
      <name val="Arial"/>
    </font>
    <font>
      <b/>
      <sz val="10"/>
      <color rgb="FF0000FF"/>
      <name val="Arial"/>
    </font>
    <font>
      <b/>
      <sz val="10"/>
      <color rgb="FF000000"/>
      <name val="Arial"/>
    </font>
    <font>
      <b/>
      <sz val="12"/>
      <color rgb="FF000000"/>
      <name val="Arial"/>
    </font>
    <font>
      <b/>
      <sz val="11"/>
      <color rgb="FFFFFFFF"/>
      <name val="Arial"/>
    </font>
    <font>
      <b/>
      <sz val="20"/>
      <color rgb="FF148C7C"/>
      <name val="Arial"/>
    </font>
    <font>
      <b/>
      <sz val="14"/>
      <color rgb="FF0000FF"/>
      <name val="Arial"/>
    </font>
    <font>
      <b/>
      <sz val="13"/>
      <color rgb="FF000000"/>
      <name val="Arial"/>
    </font>
    <font>
      <b/>
      <sz val="11"/>
      <color rgb="FF000000"/>
      <name val="Arial"/>
    </font>
    <font>
      <b/>
      <sz val="9"/>
      <color rgb="FFFFFFFF"/>
      <name val="Arial"/>
    </font>
    <font>
      <sz val="10"/>
      <color rgb="FF0000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Arial"/>
    </font>
    <font>
      <sz val="10"/>
      <color rgb="FF0000FF"/>
      <name val="Arial"/>
      <charset val="1"/>
    </font>
    <font>
      <b/>
      <sz val="10"/>
      <color rgb="FF148C7C"/>
      <name val="Arial"/>
    </font>
    <font>
      <b/>
      <sz val="9"/>
      <color rgb="FF000000"/>
      <name val="Arial"/>
    </font>
    <font>
      <sz val="11"/>
      <color rgb="FF000000"/>
      <name val="Calibri"/>
      <charset val="1"/>
    </font>
    <font>
      <sz val="9"/>
      <color rgb="FF0000FF"/>
      <name val="Arial"/>
    </font>
    <font>
      <b/>
      <sz val="10"/>
      <color rgb="FFFFFFFF"/>
      <name val="Arial"/>
    </font>
    <font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148C7C"/>
        <bgColor rgb="FF008080"/>
      </patternFill>
    </fill>
    <fill>
      <patternFill patternType="solid">
        <fgColor rgb="FFEAF1F8"/>
        <bgColor rgb="FFE6F4F1"/>
      </patternFill>
    </fill>
    <fill>
      <patternFill patternType="solid">
        <fgColor rgb="FFFFFFFF"/>
        <bgColor rgb="FFFFFDF0"/>
      </patternFill>
    </fill>
    <fill>
      <patternFill patternType="solid">
        <fgColor rgb="FFFFF2CC"/>
        <bgColor rgb="FFF2F2F2"/>
      </patternFill>
    </fill>
    <fill>
      <patternFill patternType="solid">
        <fgColor rgb="FFE6F4F1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C00000"/>
        <bgColor rgb="FF800000"/>
      </patternFill>
    </fill>
    <fill>
      <patternFill patternType="solid">
        <fgColor rgb="FFFFFDF0"/>
        <bgColor rgb="FFFFFFFF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48C7C"/>
      </left>
      <right style="medium">
        <color rgb="FF148C7C"/>
      </right>
      <top style="medium">
        <color rgb="FF148C7C"/>
      </top>
      <bottom style="medium">
        <color rgb="FF148C7C"/>
      </bottom>
      <diagonal/>
    </border>
    <border>
      <left style="medium">
        <color rgb="FF148C7C"/>
      </left>
      <right style="medium">
        <color rgb="FF148C7C"/>
      </right>
      <top/>
      <bottom/>
      <diagonal/>
    </border>
  </borders>
  <cellStyleXfs count="1">
    <xf numFmtId="0" fontId="0" fillId="0" borderId="0">
      <alignment vertical="center"/>
    </xf>
  </cellStyleXfs>
  <cellXfs count="87">
    <xf numFmtId="0" fontId="0" fillId="0" borderId="0" xfId="0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3" fontId="7" fillId="5" borderId="1" xfId="0" applyNumberFormat="1" applyFont="1" applyFill="1" applyBorder="1" applyAlignment="1">
      <alignment horizontal="center" vertical="center" wrapText="1"/>
    </xf>
    <xf numFmtId="165" fontId="10" fillId="7" borderId="1" xfId="0" applyNumberFormat="1" applyFont="1" applyFill="1" applyBorder="1" applyAlignment="1">
      <alignment horizontal="center" vertical="center" wrapText="1"/>
    </xf>
    <xf numFmtId="165" fontId="12" fillId="5" borderId="1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right" vertical="center" wrapText="1"/>
    </xf>
    <xf numFmtId="0" fontId="16" fillId="5" borderId="1" xfId="0" applyFont="1" applyFill="1" applyBorder="1" applyAlignment="1">
      <alignment horizontal="center" vertical="center" wrapText="1"/>
    </xf>
    <xf numFmtId="3" fontId="16" fillId="5" borderId="1" xfId="0" applyNumberFormat="1" applyFont="1" applyFill="1" applyBorder="1" applyAlignment="1">
      <alignment horizontal="center" vertical="center" wrapText="1"/>
    </xf>
    <xf numFmtId="3" fontId="17" fillId="5" borderId="1" xfId="0" applyNumberFormat="1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 wrapText="1"/>
    </xf>
    <xf numFmtId="9" fontId="16" fillId="5" borderId="1" xfId="0" applyNumberFormat="1" applyFont="1" applyFill="1" applyBorder="1" applyAlignment="1">
      <alignment horizontal="center" vertical="center" wrapText="1"/>
    </xf>
    <xf numFmtId="0" fontId="18" fillId="0" borderId="0" xfId="0" applyFont="1" applyAlignment="1"/>
    <xf numFmtId="0" fontId="15" fillId="8" borderId="1" xfId="0" applyFont="1" applyFill="1" applyBorder="1" applyAlignment="1">
      <alignment horizontal="right" vertical="center" wrapText="1"/>
    </xf>
    <xf numFmtId="0" fontId="16" fillId="8" borderId="1" xfId="0" applyFont="1" applyFill="1" applyBorder="1" applyAlignment="1">
      <alignment horizontal="center" vertical="center" wrapText="1"/>
    </xf>
    <xf numFmtId="3" fontId="7" fillId="7" borderId="1" xfId="0" applyNumberFormat="1" applyFont="1" applyFill="1" applyBorder="1" applyAlignment="1">
      <alignment horizontal="center" vertical="center" wrapText="1"/>
    </xf>
    <xf numFmtId="3" fontId="16" fillId="8" borderId="1" xfId="0" applyNumberFormat="1" applyFont="1" applyFill="1" applyBorder="1" applyAlignment="1">
      <alignment horizontal="center" vertical="center" wrapText="1"/>
    </xf>
    <xf numFmtId="3" fontId="17" fillId="8" borderId="1" xfId="0" applyNumberFormat="1" applyFont="1" applyFill="1" applyBorder="1" applyAlignment="1">
      <alignment horizontal="center" vertical="center" wrapText="1"/>
    </xf>
    <xf numFmtId="165" fontId="7" fillId="8" borderId="1" xfId="0" applyNumberFormat="1" applyFont="1" applyFill="1" applyBorder="1" applyAlignment="1">
      <alignment horizontal="center" vertical="center" wrapText="1"/>
    </xf>
    <xf numFmtId="9" fontId="16" fillId="8" borderId="1" xfId="0" applyNumberFormat="1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right" vertical="center" wrapText="1"/>
    </xf>
    <xf numFmtId="0" fontId="19" fillId="8" borderId="1" xfId="0" applyFont="1" applyFill="1" applyBorder="1" applyAlignment="1">
      <alignment horizontal="center" vertical="center" wrapText="1"/>
    </xf>
    <xf numFmtId="165" fontId="20" fillId="7" borderId="1" xfId="0" applyNumberFormat="1" applyFont="1" applyFill="1" applyBorder="1" applyAlignment="1">
      <alignment horizontal="center" vertical="center" wrapText="1"/>
    </xf>
    <xf numFmtId="9" fontId="7" fillId="7" borderId="1" xfId="0" applyNumberFormat="1" applyFont="1" applyFill="1" applyBorder="1" applyAlignment="1">
      <alignment horizontal="center" vertical="center" wrapText="1"/>
    </xf>
    <xf numFmtId="0" fontId="21" fillId="7" borderId="1" xfId="0" applyFont="1" applyFill="1" applyBorder="1" applyAlignment="1">
      <alignment horizontal="center" vertical="center" wrapText="1"/>
    </xf>
    <xf numFmtId="164" fontId="16" fillId="5" borderId="1" xfId="0" applyNumberFormat="1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164" fontId="15" fillId="8" borderId="1" xfId="0" applyNumberFormat="1" applyFont="1" applyFill="1" applyBorder="1" applyAlignment="1">
      <alignment horizontal="center" vertical="center" wrapText="1"/>
    </xf>
    <xf numFmtId="164" fontId="16" fillId="8" borderId="1" xfId="0" applyNumberFormat="1" applyFont="1" applyFill="1" applyBorder="1" applyAlignment="1">
      <alignment horizontal="center" vertical="center" wrapText="1"/>
    </xf>
    <xf numFmtId="165" fontId="7" fillId="7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164" fontId="15" fillId="5" borderId="1" xfId="0" applyNumberFormat="1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1" fontId="17" fillId="5" borderId="1" xfId="0" applyNumberFormat="1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3" fontId="16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right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right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2" fillId="0" borderId="5" xfId="0" applyFont="1" applyBorder="1" applyAlignment="1"/>
    <xf numFmtId="0" fontId="22" fillId="0" borderId="6" xfId="0" applyFont="1" applyBorder="1" applyAlignment="1"/>
    <xf numFmtId="0" fontId="23" fillId="0" borderId="1" xfId="0" applyFont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right"/>
    </xf>
    <xf numFmtId="0" fontId="15" fillId="8" borderId="1" xfId="0" applyFont="1" applyFill="1" applyBorder="1" applyAlignment="1">
      <alignment horizontal="right" vertical="center" wrapText="1"/>
    </xf>
    <xf numFmtId="0" fontId="16" fillId="8" borderId="1" xfId="0" applyFont="1" applyFill="1" applyBorder="1" applyAlignment="1">
      <alignment horizontal="right" vertical="center" wrapText="1"/>
    </xf>
    <xf numFmtId="0" fontId="15" fillId="10" borderId="1" xfId="0" applyFont="1" applyFill="1" applyBorder="1" applyAlignment="1">
      <alignment horizontal="right" vertical="center" wrapText="1"/>
    </xf>
    <xf numFmtId="0" fontId="16" fillId="10" borderId="1" xfId="0" applyFont="1" applyFill="1" applyBorder="1" applyAlignment="1">
      <alignment horizontal="righ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right" vertical="center" indent="1"/>
    </xf>
    <xf numFmtId="0" fontId="3" fillId="7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right" vertical="center" indent="1"/>
    </xf>
    <xf numFmtId="0" fontId="4" fillId="5" borderId="1" xfId="0" applyFont="1" applyFill="1" applyBorder="1" applyAlignment="1">
      <alignment horizontal="center" vertical="center" wrapText="1"/>
    </xf>
    <xf numFmtId="3" fontId="8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right" vertical="center" wrapText="1"/>
    </xf>
    <xf numFmtId="0" fontId="5" fillId="5" borderId="1" xfId="0" applyFont="1" applyFill="1" applyBorder="1" applyAlignment="1">
      <alignment horizontal="righ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10" fontId="12" fillId="5" borderId="1" xfId="0" applyNumberFormat="1" applyFont="1" applyFill="1" applyBorder="1" applyAlignment="1">
      <alignment horizontal="center" vertical="center" wrapText="1"/>
    </xf>
    <xf numFmtId="165" fontId="12" fillId="5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right" vertical="center" wrapText="1"/>
    </xf>
    <xf numFmtId="165" fontId="11" fillId="6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7" fillId="8" borderId="0" xfId="0" applyFont="1" applyFill="1" applyAlignment="1">
      <alignment horizontal="right" vertical="center"/>
    </xf>
    <xf numFmtId="0" fontId="3" fillId="5" borderId="0" xfId="0" applyFont="1" applyFill="1" applyAlignment="1">
      <alignment horizontal="right" vertical="center"/>
    </xf>
    <xf numFmtId="0" fontId="17" fillId="5" borderId="0" xfId="0" applyFont="1" applyFill="1" applyAlignment="1">
      <alignment horizontal="right" vertical="center"/>
    </xf>
  </cellXfs>
  <cellStyles count="1">
    <cellStyle name="عادي" xfId="0" builtinId="0"/>
  </cellStyles>
  <dxfs count="7">
    <dxf>
      <font>
        <b/>
        <sz val="11"/>
        <color rgb="FF006100"/>
      </font>
      <fill>
        <patternFill>
          <bgColor rgb="FFC6EFCE"/>
        </patternFill>
      </fill>
    </dxf>
    <dxf>
      <font>
        <b/>
        <sz val="11"/>
        <color rgb="FFC00000"/>
      </font>
      <fill>
        <patternFill>
          <bgColor rgb="FFF8CBAD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1F3864"/>
      </font>
      <fill>
        <patternFill>
          <bgColor rgb="FFDDEBF7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C00000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100"/>
      <rgbColor rgb="00000080"/>
      <rgbColor rgb="009C6500"/>
      <rgbColor rgb="00800080"/>
      <rgbColor rgb="00148C7C"/>
      <rgbColor rgb="00BFBFBF"/>
      <rgbColor rgb="00878787"/>
      <rgbColor rgb="009999FF"/>
      <rgbColor rgb="00C0504D"/>
      <rgbColor rgb="00FFF2CC"/>
      <rgbColor rgb="00E6F4F1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DEBF7"/>
      <rgbColor rgb="00C6EFCE"/>
      <rgbColor rgb="00FFEB9C"/>
      <rgbColor rgb="00EAF1F8"/>
      <rgbColor rgb="00F2F2F2"/>
      <rgbColor rgb="00F9F9F9"/>
      <rgbColor rgb="00F8CBAD"/>
      <rgbColor rgb="004F81BD"/>
      <rgbColor rgb="0033CCCC"/>
      <rgbColor rgb="0099CC00"/>
      <rgbColor rgb="00FFCC00"/>
      <rgbColor rgb="00FF9900"/>
      <rgbColor rgb="00FF6600"/>
      <rgbColor rgb="004A7EBB"/>
      <rgbColor rgb="00969696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www.wps.cn/officeDocument/2020/cellImage" Target="NUL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ar-SA" sz="1800" b="1" strike="noStrike" spc="-1">
                <a:solidFill>
                  <a:srgbClr val="000000"/>
                </a:solidFill>
                <a:latin typeface="Calibri"/>
              </a:rPr>
              <a:t>مقارنة الكمية المخططة بإجمالي المنفذ لكل بند</a:t>
            </a:r>
          </a:p>
        </c:rich>
      </c:tx>
      <c:layout>
        <c:manualLayout>
          <c:xMode val="edge"/>
          <c:yMode val="edge"/>
          <c:x val="0.22954137354257884"/>
          <c:y val="2.986533555585778E-2"/>
        </c:manualLayout>
      </c:layout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'تقرير المشروع'!$C$12</c:f>
              <c:strCache>
                <c:ptCount val="1"/>
                <c:pt idx="0">
                  <c:v>الكمية المخططة</c:v>
                </c:pt>
              </c:strCache>
            </c:strRef>
          </c:tx>
          <c:spPr>
            <a:solidFill>
              <a:srgbClr val="4F193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ar-SA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649A1-D6FC-4f65-9D203-7224C49570BB}">
                <c15:showLeaderLines val="1"/>
              </c:ext>
            </c:extLst>
          </c:dLbls>
          <c:cat>
            <c:strRef>
              <c:f>'تقرير المشروع'!$A$13:$A$18</c:f>
              <c:strCache>
                <c:ptCount val="6"/>
                <c:pt idx="0">
                  <c:v>تمديد كابلات 3*500 (15 ك.ف)</c:v>
                </c:pt>
                <c:pt idx="1">
                  <c:v>الحفر</c:v>
                </c:pt>
                <c:pt idx="2">
                  <c:v>نهايات الكابلات الأرضية</c:v>
                </c:pt>
                <c:pt idx="3">
                  <c:v>وصلات الكابلات الأرضية</c:v>
                </c:pt>
                <c:pt idx="4">
                  <c:v>SLBSتركيب </c:v>
                </c:pt>
                <c:pt idx="5">
                  <c:v>استبدالات S-RMU</c:v>
                </c:pt>
              </c:strCache>
            </c:strRef>
          </c:cat>
          <c:val>
            <c:numRef>
              <c:f>'تقرير المشروع'!$C$13:$C$18</c:f>
              <c:numCache>
                <c:formatCode>#,##0</c:formatCode>
                <c:ptCount val="6"/>
                <c:pt idx="0">
                  <c:v>5500</c:v>
                </c:pt>
                <c:pt idx="1">
                  <c:v>702.25999999999988</c:v>
                </c:pt>
                <c:pt idx="2">
                  <c:v>57</c:v>
                </c:pt>
                <c:pt idx="3">
                  <c:v>68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492CC4-5D6E-409C-BE80-E184D297465CC}">
              <c16:uniqueId val="{00000000-620D-474F-AAC6-7624BBA3B1FD}"/>
            </c:ext>
          </c:extLst>
        </c:ser>
        <c:ser>
          <c:idx val="1"/>
          <c:order val="1"/>
          <c:tx>
            <c:strRef>
              <c:f>'تقرير المشروع'!$D$12</c:f>
              <c:strCache>
                <c:ptCount val="1"/>
                <c:pt idx="0">
                  <c:v>إجمالي المنفذ</c:v>
                </c:pt>
              </c:strCache>
            </c:strRef>
          </c:tx>
          <c:spPr>
            <a:solidFill>
              <a:srgbClr val="C616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ar-SA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649A1-D6FC-4f65-9D203-7224C49570BB}">
                <c15:showLeaderLines val="1"/>
              </c:ext>
            </c:extLst>
          </c:dLbls>
          <c:cat>
            <c:strRef>
              <c:f>'تقرير المشروع'!$A$13:$A$18</c:f>
              <c:strCache>
                <c:ptCount val="6"/>
                <c:pt idx="0">
                  <c:v>تمديد كابلات 3*500 (15 ك.ف)</c:v>
                </c:pt>
                <c:pt idx="1">
                  <c:v>الحفر</c:v>
                </c:pt>
                <c:pt idx="2">
                  <c:v>نهايات الكابلات الأرضية</c:v>
                </c:pt>
                <c:pt idx="3">
                  <c:v>وصلات الكابلات الأرضية</c:v>
                </c:pt>
                <c:pt idx="4">
                  <c:v>SLBSتركيب </c:v>
                </c:pt>
                <c:pt idx="5">
                  <c:v>استبدالات S-RMU</c:v>
                </c:pt>
              </c:strCache>
            </c:strRef>
          </c:cat>
          <c:val>
            <c:numRef>
              <c:f>'تقرير المشروع'!$D$13:$D$18</c:f>
              <c:numCache>
                <c:formatCode>#,##0</c:formatCode>
                <c:ptCount val="6"/>
                <c:pt idx="0">
                  <c:v>4300</c:v>
                </c:pt>
                <c:pt idx="1">
                  <c:v>636</c:v>
                </c:pt>
                <c:pt idx="2">
                  <c:v>42</c:v>
                </c:pt>
                <c:pt idx="3">
                  <c:v>68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492CC4-5D6E-409C-BE80-E184D297465CC}">
              <c16:uniqueId val="{00000001-620D-474F-AAC6-7624BBA3B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6027488"/>
        <c:axId val="98170810"/>
      </c:barChart>
      <c:catAx>
        <c:axId val="6027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ar-SA"/>
          </a:p>
        </c:txPr>
        <c:crossAx val="98170810"/>
        <c:crosses val="autoZero"/>
        <c:auto val="1"/>
        <c:lblAlgn val="ctr"/>
        <c:lblOffset val="100"/>
        <c:noMultiLvlLbl val="0"/>
      </c:catAx>
      <c:valAx>
        <c:axId val="981708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ar-SA"/>
          </a:p>
        </c:txPr>
        <c:crossAx val="60274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ar-SA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ar-SA" sz="1800" b="1" strike="noStrike" spc="-1">
                <a:solidFill>
                  <a:srgbClr val="000000"/>
                </a:solidFill>
                <a:latin typeface="Calibri"/>
              </a:rPr>
              <a:t>منحنى تقدم الإنجاز التراكمي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3255615853135175E-2"/>
          <c:y val="0.17993902396677569"/>
          <c:w val="0.90803604251384229"/>
          <c:h val="0.7126924599454133"/>
        </c:manualLayout>
      </c:layout>
      <c:lineChart>
        <c:grouping val="standard"/>
        <c:varyColors val="0"/>
        <c:ser>
          <c:idx val="0"/>
          <c:order val="0"/>
          <c:tx>
            <c:strRef>
              <c:f>'سجل الإنجاز اليومي'!$B$2</c:f>
              <c:strCache>
                <c:ptCount val="1"/>
                <c:pt idx="0">
                  <c:v>نسبة الإنجاز الكلية %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ar-SA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'سجل الإنجاز اليومي'!$A$3:$A$59</c:f>
              <c:numCache>
                <c:formatCode>dd\-mm\-yyyy</c:formatCode>
                <c:ptCount val="57"/>
                <c:pt idx="0">
                  <c:v>46221</c:v>
                </c:pt>
                <c:pt idx="1">
                  <c:v>46222</c:v>
                </c:pt>
                <c:pt idx="2">
                  <c:v>46223</c:v>
                </c:pt>
                <c:pt idx="3">
                  <c:v>46224</c:v>
                </c:pt>
                <c:pt idx="4">
                  <c:v>46225</c:v>
                </c:pt>
                <c:pt idx="5">
                  <c:v>46226</c:v>
                </c:pt>
                <c:pt idx="6">
                  <c:v>46228</c:v>
                </c:pt>
                <c:pt idx="7">
                  <c:v>46229</c:v>
                </c:pt>
                <c:pt idx="8">
                  <c:v>46230</c:v>
                </c:pt>
                <c:pt idx="9">
                  <c:v>46231</c:v>
                </c:pt>
                <c:pt idx="10">
                  <c:v>46232</c:v>
                </c:pt>
                <c:pt idx="11">
                  <c:v>46233</c:v>
                </c:pt>
                <c:pt idx="12">
                  <c:v>46235</c:v>
                </c:pt>
                <c:pt idx="13">
                  <c:v>46236</c:v>
                </c:pt>
                <c:pt idx="14">
                  <c:v>45141</c:v>
                </c:pt>
                <c:pt idx="15">
                  <c:v>45142</c:v>
                </c:pt>
                <c:pt idx="16">
                  <c:v>46239</c:v>
                </c:pt>
                <c:pt idx="17">
                  <c:v>46243</c:v>
                </c:pt>
                <c:pt idx="18">
                  <c:v>46254</c:v>
                </c:pt>
                <c:pt idx="19">
                  <c:v>46256</c:v>
                </c:pt>
                <c:pt idx="20">
                  <c:v>46258</c:v>
                </c:pt>
                <c:pt idx="21">
                  <c:v>46259</c:v>
                </c:pt>
                <c:pt idx="22">
                  <c:v>46260</c:v>
                </c:pt>
                <c:pt idx="23">
                  <c:v>46261</c:v>
                </c:pt>
                <c:pt idx="24">
                  <c:v>46263</c:v>
                </c:pt>
                <c:pt idx="25">
                  <c:v>46264</c:v>
                </c:pt>
                <c:pt idx="26">
                  <c:v>46265</c:v>
                </c:pt>
                <c:pt idx="27">
                  <c:v>46266</c:v>
                </c:pt>
                <c:pt idx="28">
                  <c:v>46267</c:v>
                </c:pt>
                <c:pt idx="29">
                  <c:v>46268</c:v>
                </c:pt>
                <c:pt idx="30">
                  <c:v>46270</c:v>
                </c:pt>
                <c:pt idx="31">
                  <c:v>46271</c:v>
                </c:pt>
                <c:pt idx="32">
                  <c:v>46272</c:v>
                </c:pt>
                <c:pt idx="33">
                  <c:v>46275</c:v>
                </c:pt>
                <c:pt idx="34">
                  <c:v>46278</c:v>
                </c:pt>
              </c:numCache>
            </c:numRef>
          </c:cat>
          <c:val>
            <c:numRef>
              <c:f>'سجل الإنجاز اليومي'!$B$3:$B$59</c:f>
              <c:numCache>
                <c:formatCode>0.0%</c:formatCode>
                <c:ptCount val="57"/>
                <c:pt idx="0">
                  <c:v>0.1</c:v>
                </c:pt>
                <c:pt idx="1">
                  <c:v>0.12</c:v>
                </c:pt>
                <c:pt idx="2">
                  <c:v>0.15</c:v>
                </c:pt>
                <c:pt idx="3">
                  <c:v>0.17</c:v>
                </c:pt>
                <c:pt idx="4">
                  <c:v>0.2</c:v>
                </c:pt>
                <c:pt idx="5">
                  <c:v>0.22</c:v>
                </c:pt>
                <c:pt idx="6">
                  <c:v>0.24</c:v>
                </c:pt>
                <c:pt idx="7">
                  <c:v>0.25</c:v>
                </c:pt>
                <c:pt idx="8">
                  <c:v>0.27</c:v>
                </c:pt>
                <c:pt idx="9">
                  <c:v>0.28999999999999998</c:v>
                </c:pt>
                <c:pt idx="10">
                  <c:v>0.31</c:v>
                </c:pt>
                <c:pt idx="11">
                  <c:v>0.35</c:v>
                </c:pt>
                <c:pt idx="12">
                  <c:v>0.37</c:v>
                </c:pt>
                <c:pt idx="13">
                  <c:v>0.39</c:v>
                </c:pt>
                <c:pt idx="14">
                  <c:v>0.41</c:v>
                </c:pt>
                <c:pt idx="15">
                  <c:v>0.44</c:v>
                </c:pt>
                <c:pt idx="16">
                  <c:v>0.47</c:v>
                </c:pt>
                <c:pt idx="17">
                  <c:v>0.49</c:v>
                </c:pt>
                <c:pt idx="18">
                  <c:v>0.52</c:v>
                </c:pt>
                <c:pt idx="19">
                  <c:v>0.55000000000000004</c:v>
                </c:pt>
                <c:pt idx="20">
                  <c:v>0.56999999999999995</c:v>
                </c:pt>
                <c:pt idx="21">
                  <c:v>0.59</c:v>
                </c:pt>
                <c:pt idx="22">
                  <c:v>0.59</c:v>
                </c:pt>
                <c:pt idx="23">
                  <c:v>0.63</c:v>
                </c:pt>
                <c:pt idx="24">
                  <c:v>0.66</c:v>
                </c:pt>
                <c:pt idx="25">
                  <c:v>0.67</c:v>
                </c:pt>
                <c:pt idx="26">
                  <c:v>0.69</c:v>
                </c:pt>
                <c:pt idx="27">
                  <c:v>0.69</c:v>
                </c:pt>
                <c:pt idx="28">
                  <c:v>0.75</c:v>
                </c:pt>
                <c:pt idx="29">
                  <c:v>0.76</c:v>
                </c:pt>
                <c:pt idx="30">
                  <c:v>0.76</c:v>
                </c:pt>
                <c:pt idx="31">
                  <c:v>0.76</c:v>
                </c:pt>
                <c:pt idx="32">
                  <c:v>0.78</c:v>
                </c:pt>
                <c:pt idx="33">
                  <c:v>0.79</c:v>
                </c:pt>
                <c:pt idx="34">
                  <c:v>0.83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1B-4C4E-BD64-5F67A92573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4346127"/>
        <c:axId val="52864849"/>
      </c:lineChart>
      <c:dateAx>
        <c:axId val="84346127"/>
        <c:scaling>
          <c:orientation val="minMax"/>
        </c:scaling>
        <c:delete val="0"/>
        <c:axPos val="b"/>
        <c:numFmt formatCode="dd\-mm\-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ar-SA"/>
          </a:p>
        </c:txPr>
        <c:crossAx val="52864849"/>
        <c:crosses val="autoZero"/>
        <c:auto val="1"/>
        <c:lblOffset val="100"/>
        <c:baseTimeUnit val="days"/>
      </c:dateAx>
      <c:valAx>
        <c:axId val="528648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ar-SA"/>
          </a:p>
        </c:txPr>
        <c:crossAx val="843461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ar-SA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1015817</xdr:colOff>
      <xdr:row>188</xdr:row>
      <xdr:rowOff>12055</xdr:rowOff>
    </xdr:from>
    <xdr:to>
      <xdr:col>6</xdr:col>
      <xdr:colOff>629224</xdr:colOff>
      <xdr:row>201</xdr:row>
      <xdr:rowOff>303609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18452</xdr:colOff>
      <xdr:row>20</xdr:row>
      <xdr:rowOff>0</xdr:rowOff>
    </xdr:from>
    <xdr:to>
      <xdr:col>19</xdr:col>
      <xdr:colOff>476070</xdr:colOff>
      <xdr:row>35</xdr:row>
      <xdr:rowOff>12144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8284</xdr:colOff>
      <xdr:row>14</xdr:row>
      <xdr:rowOff>16321</xdr:rowOff>
    </xdr:from>
    <xdr:to>
      <xdr:col>3</xdr:col>
      <xdr:colOff>1996441</xdr:colOff>
      <xdr:row>21</xdr:row>
      <xdr:rowOff>198121</xdr:rowOff>
    </xdr:to>
    <xdr:pic>
      <xdr:nvPicPr>
        <xdr:cNvPr id="3" name="صورة 2">
          <a:extLst>
            <a:ext uri="{FF2B5EF4-FFF2-40B4-BE49-F238E27FC236}">
              <a16:creationId xmlns:a16="http://schemas.microsoft.com/office/drawing/2014/main" id="{C0A7AD8E-5B00-41C7-9671-653A50EBCD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5308959" y="3254821"/>
          <a:ext cx="1988157" cy="17820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</xdr:colOff>
      <xdr:row>3</xdr:row>
      <xdr:rowOff>7932</xdr:rowOff>
    </xdr:from>
    <xdr:to>
      <xdr:col>0</xdr:col>
      <xdr:colOff>2004058</xdr:colOff>
      <xdr:row>10</xdr:row>
      <xdr:rowOff>220980</xdr:rowOff>
    </xdr:to>
    <xdr:pic>
      <xdr:nvPicPr>
        <xdr:cNvPr id="5" name="صورة 4">
          <a:extLst>
            <a:ext uri="{FF2B5EF4-FFF2-40B4-BE49-F238E27FC236}">
              <a16:creationId xmlns:a16="http://schemas.microsoft.com/office/drawing/2014/main" id="{289FB007-45D9-4689-9FBD-A86CDD635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1473542" y="769932"/>
          <a:ext cx="1981198" cy="1813248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</xdr:colOff>
      <xdr:row>14</xdr:row>
      <xdr:rowOff>11521</xdr:rowOff>
    </xdr:from>
    <xdr:to>
      <xdr:col>1</xdr:col>
      <xdr:colOff>1996440</xdr:colOff>
      <xdr:row>21</xdr:row>
      <xdr:rowOff>190501</xdr:rowOff>
    </xdr:to>
    <xdr:pic>
      <xdr:nvPicPr>
        <xdr:cNvPr id="8" name="صورة 7">
          <a:extLst>
            <a:ext uri="{FF2B5EF4-FFF2-40B4-BE49-F238E27FC236}">
              <a16:creationId xmlns:a16="http://schemas.microsoft.com/office/drawing/2014/main" id="{FE526F83-EB06-446A-B57B-80E16AE74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9423760" y="3250021"/>
          <a:ext cx="1979295" cy="1779180"/>
        </a:xfrm>
        <a:prstGeom prst="rect">
          <a:avLst/>
        </a:prstGeom>
      </xdr:spPr>
    </xdr:pic>
    <xdr:clientData/>
  </xdr:twoCellAnchor>
  <xdr:twoCellAnchor editAs="oneCell">
    <xdr:from>
      <xdr:col>2</xdr:col>
      <xdr:colOff>10955</xdr:colOff>
      <xdr:row>14</xdr:row>
      <xdr:rowOff>16741</xdr:rowOff>
    </xdr:from>
    <xdr:to>
      <xdr:col>2</xdr:col>
      <xdr:colOff>1996440</xdr:colOff>
      <xdr:row>21</xdr:row>
      <xdr:rowOff>205741</xdr:rowOff>
    </xdr:to>
    <xdr:pic>
      <xdr:nvPicPr>
        <xdr:cNvPr id="12" name="صورة 11">
          <a:extLst>
            <a:ext uri="{FF2B5EF4-FFF2-40B4-BE49-F238E27FC236}">
              <a16:creationId xmlns:a16="http://schemas.microsoft.com/office/drawing/2014/main" id="{AFD0DC94-D0E0-4899-B6D6-E4D8B5B596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7366360" y="3255241"/>
          <a:ext cx="1985485" cy="1789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</xdr:row>
      <xdr:rowOff>21961</xdr:rowOff>
    </xdr:from>
    <xdr:to>
      <xdr:col>0</xdr:col>
      <xdr:colOff>2004059</xdr:colOff>
      <xdr:row>21</xdr:row>
      <xdr:rowOff>198121</xdr:rowOff>
    </xdr:to>
    <xdr:pic>
      <xdr:nvPicPr>
        <xdr:cNvPr id="28" name="صورة 27">
          <a:extLst>
            <a:ext uri="{FF2B5EF4-FFF2-40B4-BE49-F238E27FC236}">
              <a16:creationId xmlns:a16="http://schemas.microsoft.com/office/drawing/2014/main" id="{91C47ACB-5AA1-4E27-BDD9-BD0FD0A68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1473541" y="3260461"/>
          <a:ext cx="2004059" cy="1776360"/>
        </a:xfrm>
        <a:prstGeom prst="rect">
          <a:avLst/>
        </a:prstGeom>
      </xdr:spPr>
    </xdr:pic>
    <xdr:clientData/>
  </xdr:twoCellAnchor>
  <xdr:twoCellAnchor editAs="oneCell">
    <xdr:from>
      <xdr:col>3</xdr:col>
      <xdr:colOff>3335</xdr:colOff>
      <xdr:row>3</xdr:row>
      <xdr:rowOff>11941</xdr:rowOff>
    </xdr:from>
    <xdr:to>
      <xdr:col>3</xdr:col>
      <xdr:colOff>2026920</xdr:colOff>
      <xdr:row>11</xdr:row>
      <xdr:rowOff>1</xdr:rowOff>
    </xdr:to>
    <xdr:pic>
      <xdr:nvPicPr>
        <xdr:cNvPr id="31" name="صورة 30">
          <a:extLst>
            <a:ext uri="{FF2B5EF4-FFF2-40B4-BE49-F238E27FC236}">
              <a16:creationId xmlns:a16="http://schemas.microsoft.com/office/drawing/2014/main" id="{1F3A9626-EAD9-4C48-B862-8B0D18051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5278480" y="773941"/>
          <a:ext cx="2023585" cy="1816860"/>
        </a:xfrm>
        <a:prstGeom prst="rect">
          <a:avLst/>
        </a:prstGeom>
      </xdr:spPr>
    </xdr:pic>
    <xdr:clientData/>
  </xdr:twoCellAnchor>
  <xdr:twoCellAnchor editAs="oneCell">
    <xdr:from>
      <xdr:col>2</xdr:col>
      <xdr:colOff>18575</xdr:colOff>
      <xdr:row>3</xdr:row>
      <xdr:rowOff>17161</xdr:rowOff>
    </xdr:from>
    <xdr:to>
      <xdr:col>2</xdr:col>
      <xdr:colOff>2019300</xdr:colOff>
      <xdr:row>10</xdr:row>
      <xdr:rowOff>198121</xdr:rowOff>
    </xdr:to>
    <xdr:pic>
      <xdr:nvPicPr>
        <xdr:cNvPr id="33" name="صورة 32">
          <a:extLst>
            <a:ext uri="{FF2B5EF4-FFF2-40B4-BE49-F238E27FC236}">
              <a16:creationId xmlns:a16="http://schemas.microsoft.com/office/drawing/2014/main" id="{72DA1CF7-25EF-46F5-9805-9943B63452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7343500" y="779161"/>
          <a:ext cx="2000725" cy="178116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15241</xdr:colOff>
      <xdr:row>3</xdr:row>
      <xdr:rowOff>7620</xdr:rowOff>
    </xdr:from>
    <xdr:to>
      <xdr:col>1</xdr:col>
      <xdr:colOff>1996440</xdr:colOff>
      <xdr:row>10</xdr:row>
      <xdr:rowOff>205740</xdr:rowOff>
    </xdr:to>
    <xdr:pic>
      <xdr:nvPicPr>
        <xdr:cNvPr id="35" name="صورة 34">
          <a:extLst>
            <a:ext uri="{FF2B5EF4-FFF2-40B4-BE49-F238E27FC236}">
              <a16:creationId xmlns:a16="http://schemas.microsoft.com/office/drawing/2014/main" id="{9A9F731E-8F8B-493D-89DF-CBE47966F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9423760" y="769620"/>
          <a:ext cx="1981199" cy="1798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976"/>
    <pageSetUpPr fitToPage="1"/>
  </sheetPr>
  <dimension ref="A1:K204"/>
  <sheetViews>
    <sheetView showGridLines="0" rightToLeft="1" tabSelected="1" topLeftCell="A13" zoomScale="115" workbookViewId="0">
      <selection activeCell="D19" sqref="D19"/>
    </sheetView>
  </sheetViews>
  <sheetFormatPr defaultRowHeight="14.4" x14ac:dyDescent="0.3"/>
  <cols>
    <col min="1" max="1" width="37.109375" customWidth="1"/>
    <col min="2" max="2" width="11" customWidth="1"/>
    <col min="3" max="5" width="14" customWidth="1"/>
    <col min="6" max="6" width="13" customWidth="1"/>
    <col min="7" max="7" width="12" customWidth="1"/>
    <col min="8" max="8" width="11" customWidth="1"/>
    <col min="9" max="9" width="15" customWidth="1"/>
    <col min="11" max="11" width="2" hidden="1" customWidth="1"/>
  </cols>
  <sheetData>
    <row r="1" spans="1:11" ht="37.5" customHeight="1" x14ac:dyDescent="0.3">
      <c r="A1" s="78" t="s">
        <v>0</v>
      </c>
      <c r="B1" s="78"/>
      <c r="C1" s="78"/>
      <c r="D1" s="78"/>
      <c r="E1" s="78"/>
      <c r="F1" s="78"/>
      <c r="G1" s="78"/>
      <c r="H1" s="78"/>
      <c r="I1" s="78"/>
    </row>
    <row r="2" spans="1:11" ht="25.5" customHeight="1" x14ac:dyDescent="0.3">
      <c r="A2" s="79" t="s">
        <v>1</v>
      </c>
      <c r="B2" s="79"/>
      <c r="C2" s="79"/>
      <c r="D2" s="79"/>
      <c r="E2" s="79"/>
      <c r="F2" s="79"/>
      <c r="G2" s="79"/>
      <c r="H2" s="79"/>
      <c r="I2" s="79"/>
    </row>
    <row r="3" spans="1:11" ht="24" customHeight="1" x14ac:dyDescent="0.3">
      <c r="A3" s="1" t="s">
        <v>2</v>
      </c>
      <c r="B3" s="69">
        <v>262074490</v>
      </c>
      <c r="C3" s="69"/>
      <c r="D3" s="1" t="s">
        <v>3</v>
      </c>
      <c r="E3" s="2" t="s">
        <v>4</v>
      </c>
      <c r="F3" s="1" t="s">
        <v>5</v>
      </c>
      <c r="G3" s="3">
        <v>46279</v>
      </c>
      <c r="H3" s="1" t="s">
        <v>6</v>
      </c>
      <c r="I3" s="4" t="s">
        <v>7</v>
      </c>
    </row>
    <row r="4" spans="1:11" ht="15" customHeight="1" x14ac:dyDescent="0.3">
      <c r="A4" s="1" t="s">
        <v>8</v>
      </c>
      <c r="B4" s="72" t="s">
        <v>135</v>
      </c>
      <c r="C4" s="72"/>
      <c r="D4" s="72"/>
      <c r="E4" s="72"/>
      <c r="F4" s="1" t="s">
        <v>9</v>
      </c>
      <c r="G4" s="73" t="s">
        <v>134</v>
      </c>
      <c r="H4" s="60"/>
      <c r="I4" s="60"/>
    </row>
    <row r="5" spans="1:11" ht="31.5" customHeight="1" x14ac:dyDescent="0.3">
      <c r="A5" s="1" t="s">
        <v>10</v>
      </c>
      <c r="B5" s="71" t="s">
        <v>168</v>
      </c>
      <c r="C5" s="72"/>
      <c r="D5" s="72"/>
      <c r="E5" s="72"/>
      <c r="F5" s="72"/>
      <c r="G5" s="72"/>
      <c r="H5" s="72"/>
      <c r="I5" s="72"/>
    </row>
    <row r="6" spans="1:11" ht="23.85" customHeight="1" x14ac:dyDescent="0.3">
      <c r="A6" s="1" t="s">
        <v>11</v>
      </c>
      <c r="B6" s="60" t="s">
        <v>136</v>
      </c>
      <c r="C6" s="60"/>
      <c r="D6" s="1" t="s">
        <v>12</v>
      </c>
      <c r="E6" s="60" t="s">
        <v>137</v>
      </c>
      <c r="F6" s="60"/>
      <c r="G6" s="1" t="s">
        <v>13</v>
      </c>
      <c r="H6" s="60" t="s">
        <v>139</v>
      </c>
      <c r="I6" s="60"/>
    </row>
    <row r="7" spans="1:11" ht="24" customHeight="1" x14ac:dyDescent="0.3">
      <c r="A7" s="1" t="s">
        <v>14</v>
      </c>
      <c r="B7" s="5">
        <v>46221</v>
      </c>
      <c r="C7" s="1" t="s">
        <v>15</v>
      </c>
      <c r="D7" s="5">
        <v>46300</v>
      </c>
      <c r="E7" s="1" t="s">
        <v>16</v>
      </c>
      <c r="F7" s="6">
        <f>IF(OR($B$7="",$D$7=""),"",$D$7-$B$7)</f>
        <v>79</v>
      </c>
      <c r="G7" s="1" t="s">
        <v>17</v>
      </c>
      <c r="H7" s="70">
        <f>IF($D$7="","",$D$7-$G$3)</f>
        <v>21</v>
      </c>
      <c r="I7" s="70"/>
    </row>
    <row r="8" spans="1:11" ht="21.75" customHeight="1" x14ac:dyDescent="0.3">
      <c r="A8" s="61" t="s">
        <v>18</v>
      </c>
      <c r="B8" s="61"/>
      <c r="C8" s="61"/>
      <c r="D8" s="61"/>
      <c r="E8" s="61"/>
      <c r="F8" s="61"/>
      <c r="G8" s="61"/>
      <c r="H8" s="61"/>
      <c r="I8" s="61"/>
    </row>
    <row r="9" spans="1:11" ht="15" customHeight="1" x14ac:dyDescent="0.3">
      <c r="A9" s="1" t="s">
        <v>19</v>
      </c>
      <c r="B9" s="75" t="s">
        <v>20</v>
      </c>
      <c r="C9" s="75"/>
      <c r="D9" s="1" t="s">
        <v>21</v>
      </c>
      <c r="E9" s="1" t="s">
        <v>22</v>
      </c>
      <c r="F9" s="75" t="s">
        <v>23</v>
      </c>
      <c r="G9" s="75"/>
      <c r="H9" s="75" t="s">
        <v>24</v>
      </c>
      <c r="I9" s="75"/>
    </row>
    <row r="10" spans="1:11" ht="36" customHeight="1" x14ac:dyDescent="0.3">
      <c r="A10" s="7">
        <f>IFERROR(SUM($K$13:$K$19)/SUM($H$13:$H$19),0)</f>
        <v>0.79381864621085974</v>
      </c>
      <c r="B10" s="81">
        <v>1</v>
      </c>
      <c r="C10" s="81"/>
      <c r="D10" s="8">
        <f>$A$10-$B$10</f>
        <v>-0.20618135378914026</v>
      </c>
      <c r="E10" s="9" t="str">
        <f>IF($A$10&gt;=0.999,"مكتمل",IF($D$10&gt;=0,"وفق المخطط",IF($D$10&gt;=-0.1,"تحت المتابعة","متأخر")))</f>
        <v>متأخر</v>
      </c>
      <c r="F10" s="77">
        <f>IFERROR(SUMPRODUCT($H$13:$H$19,IFERROR($E$13:$E$19/$C$13:$C$19,0))/SUM($H$13:$H$19),0)</f>
        <v>0</v>
      </c>
      <c r="G10" s="77"/>
      <c r="H10" s="76">
        <f>IFERROR(MAX(0,(1-$A$10)/MAX($H$7,1)),0)</f>
        <v>9.8181597042447753E-3</v>
      </c>
      <c r="I10" s="76"/>
    </row>
    <row r="11" spans="1:11" ht="21.75" customHeight="1" x14ac:dyDescent="0.3">
      <c r="A11" s="61" t="s">
        <v>25</v>
      </c>
      <c r="B11" s="61"/>
      <c r="C11" s="61"/>
      <c r="D11" s="61"/>
      <c r="E11" s="61"/>
      <c r="F11" s="61"/>
      <c r="G11" s="61"/>
      <c r="H11" s="61"/>
      <c r="I11" s="61"/>
    </row>
    <row r="12" spans="1:11" ht="27.75" customHeight="1" x14ac:dyDescent="0.3">
      <c r="A12" s="10" t="s">
        <v>26</v>
      </c>
      <c r="B12" s="10" t="s">
        <v>27</v>
      </c>
      <c r="C12" s="10" t="s">
        <v>28</v>
      </c>
      <c r="D12" s="10" t="s">
        <v>29</v>
      </c>
      <c r="E12" s="10" t="s">
        <v>30</v>
      </c>
      <c r="F12" s="10" t="s">
        <v>31</v>
      </c>
      <c r="G12" s="10" t="s">
        <v>32</v>
      </c>
      <c r="H12" s="10" t="s">
        <v>33</v>
      </c>
      <c r="I12" s="10" t="s">
        <v>34</v>
      </c>
    </row>
    <row r="13" spans="1:11" ht="18" customHeight="1" x14ac:dyDescent="0.2">
      <c r="A13" s="11" t="s">
        <v>138</v>
      </c>
      <c r="B13" s="12" t="s">
        <v>35</v>
      </c>
      <c r="C13" s="13">
        <v>5500</v>
      </c>
      <c r="D13" s="13">
        <v>4300</v>
      </c>
      <c r="E13" s="13">
        <v>4300</v>
      </c>
      <c r="F13" s="14">
        <f t="shared" ref="F13:F19" si="0">IF($A13="","",$C13-$D13)</f>
        <v>1200</v>
      </c>
      <c r="G13" s="15">
        <f t="shared" ref="G13:G19" si="1">IF($A13="","",IFERROR(MIN($D13/$C13,1),0))</f>
        <v>0.78181818181818186</v>
      </c>
      <c r="H13" s="16">
        <v>0.3</v>
      </c>
      <c r="I13" s="12" t="s">
        <v>38</v>
      </c>
      <c r="K13" s="17">
        <f t="shared" ref="K13:K19" si="2">IF($A13="",0,IFERROR(MIN($D13/$C13,1),0)*$H13)</f>
        <v>0.23454545454545456</v>
      </c>
    </row>
    <row r="14" spans="1:11" ht="18" customHeight="1" x14ac:dyDescent="0.2">
      <c r="A14" s="18" t="s">
        <v>169</v>
      </c>
      <c r="B14" s="19" t="s">
        <v>35</v>
      </c>
      <c r="C14" s="20">
        <f>SUM($G$78:$G$109)</f>
        <v>702.25999999999988</v>
      </c>
      <c r="D14" s="20">
        <v>636</v>
      </c>
      <c r="E14" s="21">
        <v>624</v>
      </c>
      <c r="F14" s="22">
        <f t="shared" si="0"/>
        <v>66.259999999999877</v>
      </c>
      <c r="G14" s="23">
        <f t="shared" si="1"/>
        <v>0.90564748098994685</v>
      </c>
      <c r="H14" s="24">
        <v>0.3</v>
      </c>
      <c r="I14" s="19" t="s">
        <v>38</v>
      </c>
      <c r="K14" s="17">
        <f t="shared" si="2"/>
        <v>0.27169424429698402</v>
      </c>
    </row>
    <row r="15" spans="1:11" ht="18" customHeight="1" x14ac:dyDescent="0.2">
      <c r="A15" s="25" t="s">
        <v>39</v>
      </c>
      <c r="B15" s="12" t="s">
        <v>40</v>
      </c>
      <c r="C15" s="13">
        <v>57</v>
      </c>
      <c r="D15" s="13">
        <v>42</v>
      </c>
      <c r="E15" s="13">
        <v>42</v>
      </c>
      <c r="F15" s="14">
        <f t="shared" si="0"/>
        <v>15</v>
      </c>
      <c r="G15" s="15">
        <f t="shared" si="1"/>
        <v>0.73684210526315785</v>
      </c>
      <c r="H15" s="16">
        <v>7.0000000000000007E-2</v>
      </c>
      <c r="I15" s="19" t="s">
        <v>38</v>
      </c>
      <c r="K15" s="17">
        <f t="shared" si="2"/>
        <v>5.1578947368421058E-2</v>
      </c>
    </row>
    <row r="16" spans="1:11" ht="18" customHeight="1" x14ac:dyDescent="0.2">
      <c r="A16" s="18" t="s">
        <v>141</v>
      </c>
      <c r="B16" s="19" t="s">
        <v>40</v>
      </c>
      <c r="C16" s="21">
        <v>68</v>
      </c>
      <c r="D16" s="21">
        <v>68</v>
      </c>
      <c r="E16" s="21">
        <v>68</v>
      </c>
      <c r="F16" s="22">
        <f t="shared" si="0"/>
        <v>0</v>
      </c>
      <c r="G16" s="23">
        <f t="shared" si="1"/>
        <v>1</v>
      </c>
      <c r="H16" s="24">
        <v>0.08</v>
      </c>
      <c r="I16" s="19" t="s">
        <v>38</v>
      </c>
      <c r="K16" s="17">
        <f t="shared" si="2"/>
        <v>0.08</v>
      </c>
    </row>
    <row r="17" spans="1:11" ht="18" customHeight="1" x14ac:dyDescent="0.2">
      <c r="A17" s="18" t="s">
        <v>145</v>
      </c>
      <c r="B17" s="12" t="s">
        <v>37</v>
      </c>
      <c r="C17" s="21">
        <v>1</v>
      </c>
      <c r="D17" s="21">
        <v>0</v>
      </c>
      <c r="E17" s="21">
        <v>0</v>
      </c>
      <c r="F17" s="22">
        <v>1</v>
      </c>
      <c r="G17" s="23">
        <f t="shared" si="1"/>
        <v>0</v>
      </c>
      <c r="H17" s="24">
        <v>0.05</v>
      </c>
      <c r="I17" s="19" t="s">
        <v>38</v>
      </c>
      <c r="K17" s="17"/>
    </row>
    <row r="18" spans="1:11" ht="18" customHeight="1" x14ac:dyDescent="0.2">
      <c r="A18" s="11" t="s">
        <v>143</v>
      </c>
      <c r="B18" s="12" t="s">
        <v>37</v>
      </c>
      <c r="C18" s="13">
        <v>2</v>
      </c>
      <c r="D18" s="13">
        <v>2</v>
      </c>
      <c r="E18" s="13">
        <v>2</v>
      </c>
      <c r="F18" s="14">
        <f t="shared" si="0"/>
        <v>0</v>
      </c>
      <c r="G18" s="15">
        <f t="shared" si="1"/>
        <v>1</v>
      </c>
      <c r="H18" s="16">
        <v>0.1</v>
      </c>
      <c r="I18" s="19" t="s">
        <v>38</v>
      </c>
      <c r="K18" s="17">
        <f t="shared" si="2"/>
        <v>0.1</v>
      </c>
    </row>
    <row r="19" spans="1:11" ht="18" customHeight="1" x14ac:dyDescent="0.2">
      <c r="A19" s="18" t="s">
        <v>142</v>
      </c>
      <c r="B19" s="19" t="s">
        <v>37</v>
      </c>
      <c r="C19" s="21">
        <v>25</v>
      </c>
      <c r="D19" s="21">
        <v>14</v>
      </c>
      <c r="E19" s="21">
        <v>14</v>
      </c>
      <c r="F19" s="22">
        <f t="shared" si="0"/>
        <v>11</v>
      </c>
      <c r="G19" s="23">
        <f t="shared" si="1"/>
        <v>0.56000000000000005</v>
      </c>
      <c r="H19" s="24">
        <v>0.1</v>
      </c>
      <c r="I19" s="26" t="s">
        <v>38</v>
      </c>
      <c r="K19" s="17">
        <f t="shared" si="2"/>
        <v>5.6000000000000008E-2</v>
      </c>
    </row>
    <row r="20" spans="1:11" ht="18" customHeight="1" x14ac:dyDescent="0.2">
      <c r="A20" s="11" t="s">
        <v>138</v>
      </c>
      <c r="B20" s="12" t="s">
        <v>35</v>
      </c>
      <c r="C20" s="13">
        <v>5500</v>
      </c>
      <c r="D20" s="13">
        <v>4300</v>
      </c>
      <c r="E20" s="13">
        <v>4300</v>
      </c>
      <c r="F20" s="14">
        <f t="shared" ref="F20:F19" si="0">IF($A20="","",$C20-$D20)</f>
        <v>1200</v>
      </c>
      <c r="G20" s="15">
        <f t="shared" ref="G20:G19" si="1">IF($A20="","",IFERROR(MIN($D20/$C20,1),0))</f>
        <v>0.78181818181818186</v>
      </c>
      <c r="H20" s="16">
        <v>0.3</v>
      </c>
      <c r="I20" s="12" t="s">
        <v>38</v>
      </c>
      <c r="K20" s="17">
        <f t="shared" ref="K20:K19" si="2">IF($A20="",0,IFERROR(MIN($D20/$C20,1),0)*$H20)</f>
        <v>0.23454545454545456</v>
      </c>
    </row>
    <row r="21" spans="1:11" ht="18" customHeight="1" x14ac:dyDescent="0.2">
      <c r="A21" s="11" t="s">
        <v>138</v>
      </c>
      <c r="B21" s="12" t="s">
        <v>35</v>
      </c>
      <c r="C21" s="13">
        <v>5500</v>
      </c>
      <c r="D21" s="13">
        <v>4300</v>
      </c>
      <c r="E21" s="13">
        <v>4300</v>
      </c>
      <c r="F21" s="14">
        <f t="shared" ref="F21:F19" si="0">IF($A21="","",$C21-$D21)</f>
        <v>1200</v>
      </c>
      <c r="G21" s="15">
        <f t="shared" ref="G21:G19" si="1">IF($A21="","",IFERROR(MIN($D21/$C21,1),0))</f>
        <v>0.78181818181818186</v>
      </c>
      <c r="H21" s="16">
        <v>0.3</v>
      </c>
      <c r="I21" s="12" t="s">
        <v>38</v>
      </c>
      <c r="K21" s="17">
        <f t="shared" ref="K21:K19" si="2">IF($A21="",0,IFERROR(MIN($D21/$C21,1),0)*$H21)</f>
        <v>0.23454545454545456</v>
      </c>
    </row>
    <row r="22" spans="1:11" ht="18" customHeight="1" x14ac:dyDescent="0.2">
      <c r="A22" s="11" t="s">
        <v>138</v>
      </c>
      <c r="B22" s="12" t="s">
        <v>35</v>
      </c>
      <c r="C22" s="13">
        <v>5500</v>
      </c>
      <c r="D22" s="13">
        <v>4300</v>
      </c>
      <c r="E22" s="13">
        <v>4300</v>
      </c>
      <c r="F22" s="14">
        <f t="shared" ref="F22:F19" si="0">IF($A22="","",$C22-$D22)</f>
        <v>1200</v>
      </c>
      <c r="G22" s="15">
        <f t="shared" ref="G22:G19" si="1">IF($A22="","",IFERROR(MIN($D22/$C22,1),0))</f>
        <v>0.78181818181818186</v>
      </c>
      <c r="H22" s="16">
        <v>0.3</v>
      </c>
      <c r="I22" s="12" t="s">
        <v>38</v>
      </c>
      <c r="K22" s="17">
        <f t="shared" ref="K22:K19" si="2">IF($A22="",0,IFERROR(MIN($D22/$C22,1),0)*$H22)</f>
        <v>0.23454545454545456</v>
      </c>
    </row>
    <row r="23" spans="1:11" ht="18" customHeight="1" x14ac:dyDescent="0.2">
      <c r="A23" s="11" t="s">
        <v>138</v>
      </c>
      <c r="B23" s="12" t="s">
        <v>35</v>
      </c>
      <c r="C23" s="13">
        <v>5500</v>
      </c>
      <c r="D23" s="13">
        <v>4300</v>
      </c>
      <c r="E23" s="13">
        <v>4300</v>
      </c>
      <c r="F23" s="14">
        <f t="shared" ref="F23:F19" si="0">IF($A23="","",$C23-$D23)</f>
        <v>1200</v>
      </c>
      <c r="G23" s="15">
        <f t="shared" ref="G23:G19" si="1">IF($A23="","",IFERROR(MIN($D23/$C23,1),0))</f>
        <v>0.78181818181818186</v>
      </c>
      <c r="H23" s="16">
        <v>0.3</v>
      </c>
      <c r="I23" s="12" t="s">
        <v>38</v>
      </c>
      <c r="K23" s="17">
        <f t="shared" ref="K23:K19" si="2">IF($A23="",0,IFERROR(MIN($D23/$C23,1),0)*$H23)</f>
        <v>0.23454545454545456</v>
      </c>
    </row>
    <row r="24" spans="1:11" ht="18" customHeight="1" x14ac:dyDescent="0.2">
      <c r="A24" s="11" t="s">
        <v>138</v>
      </c>
      <c r="B24" s="12" t="s">
        <v>35</v>
      </c>
      <c r="C24" s="13">
        <v>5500</v>
      </c>
      <c r="D24" s="13">
        <v>4300</v>
      </c>
      <c r="E24" s="13">
        <v>4300</v>
      </c>
      <c r="F24" s="14">
        <f t="shared" ref="F24:F19" si="0">IF($A24="","",$C24-$D24)</f>
        <v>1200</v>
      </c>
      <c r="G24" s="15">
        <f t="shared" ref="G24:G19" si="1">IF($A24="","",IFERROR(MIN($D24/$C24,1),0))</f>
        <v>0.78181818181818186</v>
      </c>
      <c r="H24" s="16">
        <v>0.3</v>
      </c>
      <c r="I24" s="12" t="s">
        <v>38</v>
      </c>
      <c r="K24" s="17">
        <f t="shared" ref="K24:K19" si="2">IF($A24="",0,IFERROR(MIN($D24/$C24,1),0)*$H24)</f>
        <v>0.23454545454545456</v>
      </c>
    </row>
    <row r="25" spans="1:11" ht="18" customHeight="1" x14ac:dyDescent="0.2">
      <c r="A25" s="11" t="s">
        <v>138</v>
      </c>
      <c r="B25" s="12" t="s">
        <v>35</v>
      </c>
      <c r="C25" s="13">
        <v>5500</v>
      </c>
      <c r="D25" s="13">
        <v>4300</v>
      </c>
      <c r="E25" s="13">
        <v>4300</v>
      </c>
      <c r="F25" s="14">
        <f t="shared" ref="F25:F19" si="0">IF($A25="","",$C25-$D25)</f>
        <v>1200</v>
      </c>
      <c r="G25" s="15">
        <f t="shared" ref="G25:G19" si="1">IF($A25="","",IFERROR(MIN($D25/$C25,1),0))</f>
        <v>0.78181818181818186</v>
      </c>
      <c r="H25" s="16">
        <v>0.3</v>
      </c>
      <c r="I25" s="12" t="s">
        <v>38</v>
      </c>
      <c r="K25" s="17">
        <f t="shared" ref="K25:K19" si="2">IF($A25="",0,IFERROR(MIN($D25/$C25,1),0)*$H25)</f>
        <v>0.23454545454545456</v>
      </c>
    </row>
    <row r="26" spans="1:11" ht="18" customHeight="1" x14ac:dyDescent="0.2">
      <c r="A26" s="11" t="s">
        <v>138</v>
      </c>
      <c r="B26" s="12" t="s">
        <v>35</v>
      </c>
      <c r="C26" s="13">
        <v>5500</v>
      </c>
      <c r="D26" s="13">
        <v>4300</v>
      </c>
      <c r="E26" s="13">
        <v>4300</v>
      </c>
      <c r="F26" s="14">
        <f t="shared" ref="F26:F19" si="0">IF($A26="","",$C26-$D26)</f>
        <v>1200</v>
      </c>
      <c r="G26" s="15">
        <f t="shared" ref="G26:G19" si="1">IF($A26="","",IFERROR(MIN($D26/$C26,1),0))</f>
        <v>0.78181818181818186</v>
      </c>
      <c r="H26" s="16">
        <v>0.3</v>
      </c>
      <c r="I26" s="12" t="s">
        <v>38</v>
      </c>
      <c r="K26" s="17">
        <f t="shared" ref="K26:K19" si="2">IF($A26="",0,IFERROR(MIN($D26/$C26,1),0)*$H26)</f>
        <v>0.23454545454545456</v>
      </c>
    </row>
    <row r="27" spans="1:11" ht="18" customHeight="1" x14ac:dyDescent="0.2">
      <c r="A27" s="11" t="s">
        <v>138</v>
      </c>
      <c r="B27" s="12" t="s">
        <v>35</v>
      </c>
      <c r="C27" s="13">
        <v>5500</v>
      </c>
      <c r="D27" s="13">
        <v>4300</v>
      </c>
      <c r="E27" s="13">
        <v>4300</v>
      </c>
      <c r="F27" s="14">
        <f t="shared" ref="F27:F19" si="0">IF($A27="","",$C27-$D27)</f>
        <v>1200</v>
      </c>
      <c r="G27" s="15">
        <f t="shared" ref="G27:G19" si="1">IF($A27="","",IFERROR(MIN($D27/$C27,1),0))</f>
        <v>0.78181818181818186</v>
      </c>
      <c r="H27" s="16">
        <v>0.3</v>
      </c>
      <c r="I27" s="12" t="s">
        <v>38</v>
      </c>
      <c r="K27" s="17">
        <f t="shared" ref="K27:K19" si="2">IF($A27="",0,IFERROR(MIN($D27/$C27,1),0)*$H27)</f>
        <v>0.23454545454545456</v>
      </c>
    </row>
    <row r="28" spans="1:11" ht="18" customHeight="1" x14ac:dyDescent="0.2">
      <c r="A28" s="11" t="s">
        <v>138</v>
      </c>
      <c r="B28" s="12" t="s">
        <v>35</v>
      </c>
      <c r="C28" s="13">
        <v>5500</v>
      </c>
      <c r="D28" s="13">
        <v>4300</v>
      </c>
      <c r="E28" s="13">
        <v>4300</v>
      </c>
      <c r="F28" s="14">
        <f t="shared" ref="F28:F19" si="0">IF($A28="","",$C28-$D28)</f>
        <v>1200</v>
      </c>
      <c r="G28" s="15">
        <f t="shared" ref="G28:G19" si="1">IF($A28="","",IFERROR(MIN($D28/$C28,1),0))</f>
        <v>0.78181818181818186</v>
      </c>
      <c r="H28" s="16">
        <v>0.3</v>
      </c>
      <c r="I28" s="12" t="s">
        <v>38</v>
      </c>
      <c r="K28" s="17">
        <f t="shared" ref="K28:K19" si="2">IF($A28="",0,IFERROR(MIN($D28/$C28,1),0)*$H28)</f>
        <v>0.23454545454545456</v>
      </c>
    </row>
    <row r="29" spans="1:11" ht="18" customHeight="1" x14ac:dyDescent="0.2">
      <c r="A29" s="11" t="s">
        <v>138</v>
      </c>
      <c r="B29" s="12" t="s">
        <v>35</v>
      </c>
      <c r="C29" s="13">
        <v>5500</v>
      </c>
      <c r="D29" s="13">
        <v>4300</v>
      </c>
      <c r="E29" s="13">
        <v>4300</v>
      </c>
      <c r="F29" s="14">
        <f t="shared" ref="F29:F19" si="0">IF($A29="","",$C29-$D29)</f>
        <v>1200</v>
      </c>
      <c r="G29" s="15">
        <f t="shared" ref="G29:G19" si="1">IF($A29="","",IFERROR(MIN($D29/$C29,1),0))</f>
        <v>0.78181818181818186</v>
      </c>
      <c r="H29" s="16">
        <v>0.3</v>
      </c>
      <c r="I29" s="12" t="s">
        <v>38</v>
      </c>
      <c r="K29" s="17">
        <f t="shared" ref="K29:K19" si="2">IF($A29="",0,IFERROR(MIN($D29/$C29,1),0)*$H29)</f>
        <v>0.23454545454545456</v>
      </c>
    </row>
    <row r="30" spans="1:11" ht="18" customHeight="1" x14ac:dyDescent="0.2">
      <c r="A30" s="11" t="s">
        <v>138</v>
      </c>
      <c r="B30" s="12" t="s">
        <v>35</v>
      </c>
      <c r="C30" s="13">
        <v>5500</v>
      </c>
      <c r="D30" s="13">
        <v>4300</v>
      </c>
      <c r="E30" s="13">
        <v>4300</v>
      </c>
      <c r="F30" s="14">
        <f t="shared" ref="F30:F19" si="0">IF($A30="","",$C30-$D30)</f>
        <v>1200</v>
      </c>
      <c r="G30" s="15">
        <f t="shared" ref="G30:G19" si="1">IF($A30="","",IFERROR(MIN($D30/$C30,1),0))</f>
        <v>0.78181818181818186</v>
      </c>
      <c r="H30" s="16">
        <v>0.3</v>
      </c>
      <c r="I30" s="12" t="s">
        <v>38</v>
      </c>
      <c r="K30" s="17">
        <f t="shared" ref="K30:K19" si="2">IF($A30="",0,IFERROR(MIN($D30/$C30,1),0)*$H30)</f>
        <v>0.23454545454545456</v>
      </c>
    </row>
    <row r="31" spans="1:11" ht="18" customHeight="1" x14ac:dyDescent="0.2">
      <c r="A31" s="11" t="s">
        <v>138</v>
      </c>
      <c r="B31" s="12" t="s">
        <v>35</v>
      </c>
      <c r="C31" s="13">
        <v>5500</v>
      </c>
      <c r="D31" s="13">
        <v>4300</v>
      </c>
      <c r="E31" s="13">
        <v>4300</v>
      </c>
      <c r="F31" s="14">
        <f t="shared" ref="F31:F19" si="0">IF($A31="","",$C31-$D31)</f>
        <v>1200</v>
      </c>
      <c r="G31" s="15">
        <f t="shared" ref="G31:G19" si="1">IF($A31="","",IFERROR(MIN($D31/$C31,1),0))</f>
        <v>0.78181818181818186</v>
      </c>
      <c r="H31" s="16">
        <v>0.3</v>
      </c>
      <c r="I31" s="12" t="s">
        <v>38</v>
      </c>
      <c r="K31" s="17">
        <f t="shared" ref="K31:K19" si="2">IF($A31="",0,IFERROR(MIN($D31/$C31,1),0)*$H31)</f>
        <v>0.23454545454545456</v>
      </c>
    </row>
    <row r="32" spans="1:11" ht="18" customHeight="1" x14ac:dyDescent="0.2">
      <c r="A32" s="11" t="s">
        <v>138</v>
      </c>
      <c r="B32" s="12" t="s">
        <v>35</v>
      </c>
      <c r="C32" s="13">
        <v>5500</v>
      </c>
      <c r="D32" s="13">
        <v>4300</v>
      </c>
      <c r="E32" s="13">
        <v>4300</v>
      </c>
      <c r="F32" s="14">
        <f t="shared" ref="F32:F19" si="0">IF($A32="","",$C32-$D32)</f>
        <v>1200</v>
      </c>
      <c r="G32" s="15">
        <f t="shared" ref="G32:G19" si="1">IF($A32="","",IFERROR(MIN($D32/$C32,1),0))</f>
        <v>0.78181818181818186</v>
      </c>
      <c r="H32" s="16">
        <v>0.3</v>
      </c>
      <c r="I32" s="12" t="s">
        <v>38</v>
      </c>
      <c r="K32" s="17">
        <f t="shared" ref="K32:K19" si="2">IF($A32="",0,IFERROR(MIN($D32/$C32,1),0)*$H32)</f>
        <v>0.23454545454545456</v>
      </c>
    </row>
    <row r="33" spans="1:11" ht="15" customHeight="1" x14ac:dyDescent="0.3">
      <c r="A33" s="62" t="s">
        <v>41</v>
      </c>
      <c r="B33" s="62"/>
      <c r="C33" s="20">
        <f>SUM($C$13:$C$19)</f>
        <v>6355.26</v>
      </c>
      <c r="D33" s="20">
        <f>SUM($D$13:$D$19)</f>
        <v>5062</v>
      </c>
      <c r="E33" s="20">
        <f>SUM($E$13:$E$19)</f>
        <v>5050</v>
      </c>
      <c r="F33" s="20">
        <f>SUM($F$13:$F$19)</f>
        <v>1293.2599999999998</v>
      </c>
      <c r="G33" s="27">
        <f>$A$10</f>
        <v>0.79381864621085974</v>
      </c>
      <c r="H33" s="28">
        <f>SUM($H$13:$H$19)</f>
        <v>0.99999999999999989</v>
      </c>
      <c r="I33" s="29" t="str">
        <f>IF($H$33&lt;&gt;1,"⚠ مجموع الأوزان ≠ 100%","✔")</f>
        <v>✔</v>
      </c>
    </row>
    <row r="34" spans="1:11" ht="21.75" customHeight="1" x14ac:dyDescent="0.3">
      <c r="A34" s="61" t="s">
        <v>42</v>
      </c>
      <c r="B34" s="61"/>
      <c r="C34" s="61"/>
      <c r="D34" s="61"/>
      <c r="E34" s="61"/>
      <c r="F34" s="61"/>
      <c r="G34" s="61"/>
      <c r="H34" s="61"/>
      <c r="I34" s="61"/>
    </row>
    <row r="35" spans="1:11" ht="27.75" customHeight="1" x14ac:dyDescent="0.3">
      <c r="A35" s="10" t="s">
        <v>43</v>
      </c>
      <c r="B35" s="10" t="s">
        <v>27</v>
      </c>
      <c r="C35" s="10" t="s">
        <v>44</v>
      </c>
      <c r="D35" s="10" t="s">
        <v>45</v>
      </c>
      <c r="E35" s="10" t="s">
        <v>31</v>
      </c>
      <c r="F35" s="10" t="s">
        <v>46</v>
      </c>
      <c r="G35" s="10" t="s">
        <v>47</v>
      </c>
      <c r="H35" s="67" t="s">
        <v>48</v>
      </c>
      <c r="I35" s="67"/>
    </row>
    <row r="36" spans="1:11" ht="18" customHeight="1" x14ac:dyDescent="0.3">
      <c r="A36" s="11" t="s">
        <v>146</v>
      </c>
      <c r="B36" s="12" t="s">
        <v>35</v>
      </c>
      <c r="C36" s="13">
        <v>5500</v>
      </c>
      <c r="D36" s="13">
        <v>5500</v>
      </c>
      <c r="E36" s="14">
        <f t="shared" ref="E36:E40" si="3">IF($A36="","",$C36-$D36)</f>
        <v>0</v>
      </c>
      <c r="F36" s="15">
        <f t="shared" ref="F36:F40" si="4">IF($A36="","",IFERROR($D36/$C36,0))</f>
        <v>1</v>
      </c>
      <c r="G36" s="12" t="s">
        <v>52</v>
      </c>
      <c r="H36" s="74"/>
      <c r="I36" s="74"/>
    </row>
    <row r="37" spans="1:11" ht="18" customHeight="1" x14ac:dyDescent="0.3">
      <c r="A37" s="25" t="s">
        <v>39</v>
      </c>
      <c r="B37" s="12" t="s">
        <v>40</v>
      </c>
      <c r="C37" s="13">
        <v>57</v>
      </c>
      <c r="D37" s="13">
        <v>57</v>
      </c>
      <c r="E37" s="14">
        <f t="shared" si="3"/>
        <v>0</v>
      </c>
      <c r="F37" s="15">
        <f t="shared" si="4"/>
        <v>1</v>
      </c>
      <c r="G37" s="12" t="s">
        <v>52</v>
      </c>
      <c r="H37" s="74"/>
      <c r="I37" s="74"/>
    </row>
    <row r="38" spans="1:11" ht="18" customHeight="1" x14ac:dyDescent="0.3">
      <c r="A38" s="18" t="s">
        <v>141</v>
      </c>
      <c r="B38" s="19" t="s">
        <v>40</v>
      </c>
      <c r="C38" s="21">
        <v>68</v>
      </c>
      <c r="D38" s="21">
        <v>68</v>
      </c>
      <c r="E38" s="22">
        <f t="shared" si="3"/>
        <v>0</v>
      </c>
      <c r="F38" s="23">
        <f t="shared" si="4"/>
        <v>1</v>
      </c>
      <c r="G38" s="19" t="s">
        <v>52</v>
      </c>
      <c r="H38" s="57"/>
      <c r="I38" s="57"/>
    </row>
    <row r="39" spans="1:11" ht="18" customHeight="1" x14ac:dyDescent="0.3">
      <c r="A39" s="18" t="s">
        <v>144</v>
      </c>
      <c r="B39" s="12" t="s">
        <v>37</v>
      </c>
      <c r="C39" s="13">
        <v>1</v>
      </c>
      <c r="D39" s="13">
        <v>0</v>
      </c>
      <c r="E39" s="14">
        <f t="shared" si="3"/>
        <v>1</v>
      </c>
      <c r="F39" s="15">
        <f t="shared" si="4"/>
        <v>0</v>
      </c>
      <c r="G39" s="12" t="s">
        <v>50</v>
      </c>
      <c r="H39" s="74"/>
      <c r="I39" s="74"/>
    </row>
    <row r="40" spans="1:11" ht="18" customHeight="1" x14ac:dyDescent="0.3">
      <c r="A40" s="11" t="s">
        <v>147</v>
      </c>
      <c r="B40" s="12" t="s">
        <v>37</v>
      </c>
      <c r="C40" s="21">
        <v>2</v>
      </c>
      <c r="D40" s="21">
        <v>2</v>
      </c>
      <c r="E40" s="22">
        <f t="shared" si="3"/>
        <v>0</v>
      </c>
      <c r="F40" s="23">
        <f t="shared" si="4"/>
        <v>1</v>
      </c>
      <c r="G40" s="19" t="s">
        <v>52</v>
      </c>
      <c r="H40" s="57"/>
      <c r="I40" s="57"/>
    </row>
    <row r="41" spans="1:11" ht="18" customHeight="1" x14ac:dyDescent="0.3">
      <c r="A41" s="11" t="s">
        <v>146</v>
      </c>
      <c r="B41" s="12" t="s">
        <v>35</v>
      </c>
      <c r="C41" s="13">
        <v>5500</v>
      </c>
      <c r="D41" s="13">
        <v>5500</v>
      </c>
      <c r="E41" s="14">
        <f t="shared" ref="E41:E40" si="3">IF($A41="","",$C41-$D41)</f>
        <v>0</v>
      </c>
      <c r="F41" s="15">
        <f t="shared" ref="F41:F40" si="4">IF($A41="","",IFERROR($D41/$C41,0))</f>
        <v>1</v>
      </c>
      <c r="G41" s="12" t="s">
        <v>52</v>
      </c>
      <c r="H41" s="74"/>
      <c r="I41" s="74"/>
    </row>
    <row r="42" spans="1:11" ht="18" customHeight="1" x14ac:dyDescent="0.3">
      <c r="A42" s="11" t="s">
        <v>146</v>
      </c>
      <c r="B42" s="12" t="s">
        <v>35</v>
      </c>
      <c r="C42" s="13">
        <v>5500</v>
      </c>
      <c r="D42" s="13">
        <v>5500</v>
      </c>
      <c r="E42" s="14">
        <f t="shared" ref="E42:E40" si="3">IF($A42="","",$C42-$D42)</f>
        <v>0</v>
      </c>
      <c r="F42" s="15">
        <f t="shared" ref="F42:F40" si="4">IF($A42="","",IFERROR($D42/$C42,0))</f>
        <v>1</v>
      </c>
      <c r="G42" s="12" t="s">
        <v>52</v>
      </c>
      <c r="H42" s="74"/>
      <c r="I42" s="74"/>
    </row>
    <row r="43" spans="1:11" ht="18" customHeight="1" x14ac:dyDescent="0.3">
      <c r="A43" s="11" t="s">
        <v>146</v>
      </c>
      <c r="B43" s="12" t="s">
        <v>35</v>
      </c>
      <c r="C43" s="13">
        <v>5500</v>
      </c>
      <c r="D43" s="13">
        <v>5500</v>
      </c>
      <c r="E43" s="14">
        <f t="shared" ref="E43:E40" si="3">IF($A43="","",$C43-$D43)</f>
        <v>0</v>
      </c>
      <c r="F43" s="15">
        <f t="shared" ref="F43:F40" si="4">IF($A43="","",IFERROR($D43/$C43,0))</f>
        <v>1</v>
      </c>
      <c r="G43" s="12" t="s">
        <v>52</v>
      </c>
      <c r="H43" s="74"/>
      <c r="I43" s="74"/>
    </row>
    <row r="44" spans="1:11" ht="18" customHeight="1" x14ac:dyDescent="0.3">
      <c r="A44" s="11" t="s">
        <v>146</v>
      </c>
      <c r="B44" s="12" t="s">
        <v>35</v>
      </c>
      <c r="C44" s="13">
        <v>5500</v>
      </c>
      <c r="D44" s="13">
        <v>5500</v>
      </c>
      <c r="E44" s="14">
        <f t="shared" ref="E44:E40" si="3">IF($A44="","",$C44-$D44)</f>
        <v>0</v>
      </c>
      <c r="F44" s="15">
        <f t="shared" ref="F44:F40" si="4">IF($A44="","",IFERROR($D44/$C44,0))</f>
        <v>1</v>
      </c>
      <c r="G44" s="12" t="s">
        <v>52</v>
      </c>
      <c r="H44" s="74"/>
      <c r="I44" s="74"/>
    </row>
    <row r="45" spans="1:11" ht="18" customHeight="1" x14ac:dyDescent="0.3">
      <c r="A45" s="11" t="s">
        <v>146</v>
      </c>
      <c r="B45" s="12" t="s">
        <v>35</v>
      </c>
      <c r="C45" s="13">
        <v>5500</v>
      </c>
      <c r="D45" s="13">
        <v>5500</v>
      </c>
      <c r="E45" s="14">
        <f t="shared" ref="E45:E40" si="3">IF($A45="","",$C45-$D45)</f>
        <v>0</v>
      </c>
      <c r="F45" s="15">
        <f t="shared" ref="F45:F40" si="4">IF($A45="","",IFERROR($D45/$C45,0))</f>
        <v>1</v>
      </c>
      <c r="G45" s="12" t="s">
        <v>52</v>
      </c>
      <c r="H45" s="74"/>
      <c r="I45" s="74"/>
    </row>
    <row r="46" spans="1:11" ht="18" customHeight="1" x14ac:dyDescent="0.3">
      <c r="A46" s="11" t="s">
        <v>146</v>
      </c>
      <c r="B46" s="12" t="s">
        <v>35</v>
      </c>
      <c r="C46" s="13">
        <v>5500</v>
      </c>
      <c r="D46" s="13">
        <v>5500</v>
      </c>
      <c r="E46" s="14">
        <f t="shared" ref="E46:E40" si="3">IF($A46="","",$C46-$D46)</f>
        <v>0</v>
      </c>
      <c r="F46" s="15">
        <f t="shared" ref="F46:F40" si="4">IF($A46="","",IFERROR($D46/$C46,0))</f>
        <v>1</v>
      </c>
      <c r="G46" s="12" t="s">
        <v>52</v>
      </c>
      <c r="H46" s="74"/>
      <c r="I46" s="74"/>
    </row>
    <row r="47" spans="1:11" ht="18" customHeight="1" x14ac:dyDescent="0.3">
      <c r="A47" s="11" t="s">
        <v>146</v>
      </c>
      <c r="B47" s="12" t="s">
        <v>35</v>
      </c>
      <c r="C47" s="13">
        <v>5500</v>
      </c>
      <c r="D47" s="13">
        <v>5500</v>
      </c>
      <c r="E47" s="14">
        <f t="shared" ref="E47:E40" si="3">IF($A47="","",$C47-$D47)</f>
        <v>0</v>
      </c>
      <c r="F47" s="15">
        <f t="shared" ref="F47:F40" si="4">IF($A47="","",IFERROR($D47/$C47,0))</f>
        <v>1</v>
      </c>
      <c r="G47" s="12" t="s">
        <v>52</v>
      </c>
      <c r="H47" s="74"/>
      <c r="I47" s="74"/>
    </row>
    <row r="48" spans="1:11" ht="18" customHeight="1" x14ac:dyDescent="0.3">
      <c r="A48" s="11" t="s">
        <v>146</v>
      </c>
      <c r="B48" s="12" t="s">
        <v>35</v>
      </c>
      <c r="C48" s="13">
        <v>5500</v>
      </c>
      <c r="D48" s="13">
        <v>5500</v>
      </c>
      <c r="E48" s="14">
        <f t="shared" ref="E48:E40" si="3">IF($A48="","",$C48-$D48)</f>
        <v>0</v>
      </c>
      <c r="F48" s="15">
        <f t="shared" ref="F48:F40" si="4">IF($A48="","",IFERROR($D48/$C48,0))</f>
        <v>1</v>
      </c>
      <c r="G48" s="12" t="s">
        <v>52</v>
      </c>
      <c r="H48" s="74"/>
      <c r="I48" s="74"/>
    </row>
    <row r="49" spans="1:11" ht="18" customHeight="1" x14ac:dyDescent="0.3">
      <c r="A49" s="11" t="s">
        <v>146</v>
      </c>
      <c r="B49" s="12" t="s">
        <v>35</v>
      </c>
      <c r="C49" s="13">
        <v>5500</v>
      </c>
      <c r="D49" s="13">
        <v>5500</v>
      </c>
      <c r="E49" s="14">
        <f t="shared" ref="E49:E40" si="3">IF($A49="","",$C49-$D49)</f>
        <v>0</v>
      </c>
      <c r="F49" s="15">
        <f t="shared" ref="F49:F40" si="4">IF($A49="","",IFERROR($D49/$C49,0))</f>
        <v>1</v>
      </c>
      <c r="G49" s="12" t="s">
        <v>52</v>
      </c>
      <c r="H49" s="74"/>
      <c r="I49" s="74"/>
    </row>
    <row r="50" spans="1:11" ht="18" customHeight="1" x14ac:dyDescent="0.3">
      <c r="A50" s="11" t="s">
        <v>146</v>
      </c>
      <c r="B50" s="12" t="s">
        <v>35</v>
      </c>
      <c r="C50" s="13">
        <v>5500</v>
      </c>
      <c r="D50" s="13">
        <v>5500</v>
      </c>
      <c r="E50" s="14">
        <f t="shared" ref="E50:E40" si="3">IF($A50="","",$C50-$D50)</f>
        <v>0</v>
      </c>
      <c r="F50" s="15">
        <f t="shared" ref="F50:F40" si="4">IF($A50="","",IFERROR($D50/$C50,0))</f>
        <v>1</v>
      </c>
      <c r="G50" s="12" t="s">
        <v>52</v>
      </c>
      <c r="H50" s="74"/>
      <c r="I50" s="74"/>
    </row>
    <row r="51" spans="1:11" ht="18" customHeight="1" x14ac:dyDescent="0.3">
      <c r="A51" s="11" t="s">
        <v>146</v>
      </c>
      <c r="B51" s="12" t="s">
        <v>35</v>
      </c>
      <c r="C51" s="13">
        <v>5500</v>
      </c>
      <c r="D51" s="13">
        <v>5500</v>
      </c>
      <c r="E51" s="14">
        <f t="shared" ref="E51:E40" si="3">IF($A51="","",$C51-$D51)</f>
        <v>0</v>
      </c>
      <c r="F51" s="15">
        <f t="shared" ref="F51:F40" si="4">IF($A51="","",IFERROR($D51/$C51,0))</f>
        <v>1</v>
      </c>
      <c r="G51" s="12" t="s">
        <v>52</v>
      </c>
      <c r="H51" s="74"/>
      <c r="I51" s="74"/>
    </row>
    <row r="52" spans="1:11" ht="18" customHeight="1" x14ac:dyDescent="0.3">
      <c r="A52" s="11" t="s">
        <v>146</v>
      </c>
      <c r="B52" s="12" t="s">
        <v>35</v>
      </c>
      <c r="C52" s="13">
        <v>5500</v>
      </c>
      <c r="D52" s="13">
        <v>5500</v>
      </c>
      <c r="E52" s="14">
        <f t="shared" ref="E52:E40" si="3">IF($A52="","",$C52-$D52)</f>
        <v>0</v>
      </c>
      <c r="F52" s="15">
        <f t="shared" ref="F52:F40" si="4">IF($A52="","",IFERROR($D52/$C52,0))</f>
        <v>1</v>
      </c>
      <c r="G52" s="12" t="s">
        <v>52</v>
      </c>
      <c r="H52" s="74"/>
      <c r="I52" s="74"/>
    </row>
    <row r="53" spans="1:11" ht="18" customHeight="1" x14ac:dyDescent="0.3">
      <c r="A53" s="11" t="s">
        <v>146</v>
      </c>
      <c r="B53" s="12" t="s">
        <v>35</v>
      </c>
      <c r="C53" s="13">
        <v>5500</v>
      </c>
      <c r="D53" s="13">
        <v>5500</v>
      </c>
      <c r="E53" s="14">
        <f t="shared" ref="E53:E40" si="3">IF($A53="","",$C53-$D53)</f>
        <v>0</v>
      </c>
      <c r="F53" s="15">
        <f t="shared" ref="F53:F40" si="4">IF($A53="","",IFERROR($D53/$C53,0))</f>
        <v>1</v>
      </c>
      <c r="G53" s="12" t="s">
        <v>52</v>
      </c>
      <c r="H53" s="74"/>
      <c r="I53" s="74"/>
    </row>
    <row r="54" spans="1:11" ht="18" customHeight="1" x14ac:dyDescent="0.3">
      <c r="A54" s="11" t="s">
        <v>146</v>
      </c>
      <c r="B54" s="12" t="s">
        <v>35</v>
      </c>
      <c r="C54" s="13">
        <v>5500</v>
      </c>
      <c r="D54" s="13">
        <v>5500</v>
      </c>
      <c r="E54" s="14">
        <f t="shared" ref="E54:E40" si="3">IF($A54="","",$C54-$D54)</f>
        <v>0</v>
      </c>
      <c r="F54" s="15">
        <f t="shared" ref="F54:F40" si="4">IF($A54="","",IFERROR($D54/$C54,0))</f>
        <v>1</v>
      </c>
      <c r="G54" s="12" t="s">
        <v>52</v>
      </c>
      <c r="H54" s="74"/>
      <c r="I54" s="74"/>
    </row>
    <row r="55" spans="1:11" ht="18" customHeight="1" x14ac:dyDescent="0.3">
      <c r="A55" s="11" t="s">
        <v>146</v>
      </c>
      <c r="B55" s="12" t="s">
        <v>35</v>
      </c>
      <c r="C55" s="13">
        <v>5500</v>
      </c>
      <c r="D55" s="13">
        <v>5500</v>
      </c>
      <c r="E55" s="14">
        <f t="shared" ref="E55:E40" si="3">IF($A55="","",$C55-$D55)</f>
        <v>0</v>
      </c>
      <c r="F55" s="15">
        <f t="shared" ref="F55:F40" si="4">IF($A55="","",IFERROR($D55/$C55,0))</f>
        <v>1</v>
      </c>
      <c r="G55" s="12" t="s">
        <v>52</v>
      </c>
      <c r="H55" s="74"/>
      <c r="I55" s="74"/>
    </row>
    <row r="56" spans="1:11" ht="18" customHeight="1" x14ac:dyDescent="0.3">
      <c r="A56" s="11" t="s">
        <v>146</v>
      </c>
      <c r="B56" s="12" t="s">
        <v>35</v>
      </c>
      <c r="C56" s="13">
        <v>5500</v>
      </c>
      <c r="D56" s="13">
        <v>5500</v>
      </c>
      <c r="E56" s="14">
        <f t="shared" ref="E56:E40" si="3">IF($A56="","",$C56-$D56)</f>
        <v>0</v>
      </c>
      <c r="F56" s="15">
        <f t="shared" ref="F56:F40" si="4">IF($A56="","",IFERROR($D56/$C56,0))</f>
        <v>1</v>
      </c>
      <c r="G56" s="12" t="s">
        <v>52</v>
      </c>
      <c r="H56" s="74"/>
      <c r="I56" s="74"/>
    </row>
    <row r="57" spans="1:11" ht="18" customHeight="1" x14ac:dyDescent="0.3">
      <c r="A57" s="11" t="s">
        <v>146</v>
      </c>
      <c r="B57" s="12" t="s">
        <v>35</v>
      </c>
      <c r="C57" s="13">
        <v>5500</v>
      </c>
      <c r="D57" s="13">
        <v>5500</v>
      </c>
      <c r="E57" s="14">
        <f t="shared" ref="E57:E40" si="3">IF($A57="","",$C57-$D57)</f>
        <v>0</v>
      </c>
      <c r="F57" s="15">
        <f t="shared" ref="F57:F40" si="4">IF($A57="","",IFERROR($D57/$C57,0))</f>
        <v>1</v>
      </c>
      <c r="G57" s="12" t="s">
        <v>52</v>
      </c>
      <c r="H57" s="74"/>
      <c r="I57" s="74"/>
    </row>
    <row r="58" spans="1:11" ht="18" customHeight="1" x14ac:dyDescent="0.3">
      <c r="A58" s="11" t="s">
        <v>146</v>
      </c>
      <c r="B58" s="12" t="s">
        <v>35</v>
      </c>
      <c r="C58" s="13">
        <v>5500</v>
      </c>
      <c r="D58" s="13">
        <v>5500</v>
      </c>
      <c r="E58" s="14">
        <f t="shared" ref="E58:E40" si="3">IF($A58="","",$C58-$D58)</f>
        <v>0</v>
      </c>
      <c r="F58" s="15">
        <f t="shared" ref="F58:F40" si="4">IF($A58="","",IFERROR($D58/$C58,0))</f>
        <v>1</v>
      </c>
      <c r="G58" s="12" t="s">
        <v>52</v>
      </c>
      <c r="H58" s="74"/>
      <c r="I58" s="74"/>
    </row>
    <row r="59" spans="1:11" ht="18" customHeight="1" x14ac:dyDescent="0.3">
      <c r="A59" s="11" t="s">
        <v>146</v>
      </c>
      <c r="B59" s="12" t="s">
        <v>35</v>
      </c>
      <c r="C59" s="13">
        <v>5500</v>
      </c>
      <c r="D59" s="13">
        <v>5500</v>
      </c>
      <c r="E59" s="14">
        <f t="shared" ref="E59:E40" si="3">IF($A59="","",$C59-$D59)</f>
        <v>0</v>
      </c>
      <c r="F59" s="15">
        <f t="shared" ref="F59:F40" si="4">IF($A59="","",IFERROR($D59/$C59,0))</f>
        <v>1</v>
      </c>
      <c r="G59" s="12" t="s">
        <v>52</v>
      </c>
      <c r="H59" s="74"/>
      <c r="I59" s="74"/>
    </row>
    <row r="60" spans="1:11" ht="18" customHeight="1" x14ac:dyDescent="0.3">
      <c r="A60" s="11" t="s">
        <v>146</v>
      </c>
      <c r="B60" s="12" t="s">
        <v>35</v>
      </c>
      <c r="C60" s="13">
        <v>5500</v>
      </c>
      <c r="D60" s="13">
        <v>5500</v>
      </c>
      <c r="E60" s="14">
        <f t="shared" ref="E60:E40" si="3">IF($A60="","",$C60-$D60)</f>
        <v>0</v>
      </c>
      <c r="F60" s="15">
        <f t="shared" ref="F60:F40" si="4">IF($A60="","",IFERROR($D60/$C60,0))</f>
        <v>1</v>
      </c>
      <c r="G60" s="12" t="s">
        <v>52</v>
      </c>
      <c r="H60" s="74"/>
      <c r="I60" s="74"/>
    </row>
    <row r="61" spans="1:11" ht="18" customHeight="1" x14ac:dyDescent="0.3">
      <c r="A61" s="11" t="s">
        <v>146</v>
      </c>
      <c r="B61" s="12" t="s">
        <v>35</v>
      </c>
      <c r="C61" s="13">
        <v>5500</v>
      </c>
      <c r="D61" s="13">
        <v>5500</v>
      </c>
      <c r="E61" s="14">
        <f t="shared" ref="E61:E40" si="3">IF($A61="","",$C61-$D61)</f>
        <v>0</v>
      </c>
      <c r="F61" s="15">
        <f t="shared" ref="F61:F40" si="4">IF($A61="","",IFERROR($D61/$C61,0))</f>
        <v>1</v>
      </c>
      <c r="G61" s="12" t="s">
        <v>52</v>
      </c>
      <c r="H61" s="74"/>
      <c r="I61" s="74"/>
    </row>
    <row r="62" spans="1:11" ht="18" customHeight="1" x14ac:dyDescent="0.3">
      <c r="A62" s="11" t="s">
        <v>146</v>
      </c>
      <c r="B62" s="12" t="s">
        <v>35</v>
      </c>
      <c r="C62" s="13">
        <v>5500</v>
      </c>
      <c r="D62" s="13">
        <v>5500</v>
      </c>
      <c r="E62" s="14">
        <f t="shared" ref="E62:E40" si="3">IF($A62="","",$C62-$D62)</f>
        <v>0</v>
      </c>
      <c r="F62" s="15">
        <f t="shared" ref="F62:F40" si="4">IF($A62="","",IFERROR($D62/$C62,0))</f>
        <v>1</v>
      </c>
      <c r="G62" s="12" t="s">
        <v>52</v>
      </c>
      <c r="H62" s="74"/>
      <c r="I62" s="74"/>
    </row>
    <row r="63" spans="1:11" ht="18" customHeight="1" x14ac:dyDescent="0.3">
      <c r="A63" s="11" t="s">
        <v>146</v>
      </c>
      <c r="B63" s="12" t="s">
        <v>35</v>
      </c>
      <c r="C63" s="13">
        <v>5500</v>
      </c>
      <c r="D63" s="13">
        <v>5500</v>
      </c>
      <c r="E63" s="14">
        <f t="shared" ref="E63:E40" si="3">IF($A63="","",$C63-$D63)</f>
        <v>0</v>
      </c>
      <c r="F63" s="15">
        <f t="shared" ref="F63:F40" si="4">IF($A63="","",IFERROR($D63/$C63,0))</f>
        <v>1</v>
      </c>
      <c r="G63" s="12" t="s">
        <v>52</v>
      </c>
      <c r="H63" s="74"/>
      <c r="I63" s="74"/>
    </row>
    <row r="64" spans="1:11" ht="18" customHeight="1" x14ac:dyDescent="0.3">
      <c r="A64" s="11" t="s">
        <v>146</v>
      </c>
      <c r="B64" s="12" t="s">
        <v>35</v>
      </c>
      <c r="C64" s="13">
        <v>5500</v>
      </c>
      <c r="D64" s="13">
        <v>5500</v>
      </c>
      <c r="E64" s="14">
        <f t="shared" ref="E64:E40" si="3">IF($A64="","",$C64-$D64)</f>
        <v>0</v>
      </c>
      <c r="F64" s="15">
        <f t="shared" ref="F64:F40" si="4">IF($A64="","",IFERROR($D64/$C64,0))</f>
        <v>1</v>
      </c>
      <c r="G64" s="12" t="s">
        <v>52</v>
      </c>
      <c r="H64" s="74"/>
      <c r="I64" s="74"/>
    </row>
    <row r="65" spans="1:11" ht="18" customHeight="1" x14ac:dyDescent="0.3">
      <c r="A65" s="11" t="s">
        <v>146</v>
      </c>
      <c r="B65" s="12" t="s">
        <v>35</v>
      </c>
      <c r="C65" s="13">
        <v>5500</v>
      </c>
      <c r="D65" s="13">
        <v>5500</v>
      </c>
      <c r="E65" s="14">
        <f t="shared" ref="E65:E40" si="3">IF($A65="","",$C65-$D65)</f>
        <v>0</v>
      </c>
      <c r="F65" s="15">
        <f t="shared" ref="F65:F40" si="4">IF($A65="","",IFERROR($D65/$C65,0))</f>
        <v>1</v>
      </c>
      <c r="G65" s="12" t="s">
        <v>52</v>
      </c>
      <c r="H65" s="74"/>
      <c r="I65" s="74"/>
    </row>
    <row r="66" spans="1:11" ht="18" customHeight="1" x14ac:dyDescent="0.3">
      <c r="A66" s="11" t="s">
        <v>146</v>
      </c>
      <c r="B66" s="12" t="s">
        <v>35</v>
      </c>
      <c r="C66" s="13">
        <v>5500</v>
      </c>
      <c r="D66" s="13">
        <v>5500</v>
      </c>
      <c r="E66" s="14">
        <f t="shared" ref="E66:E40" si="3">IF($A66="","",$C66-$D66)</f>
        <v>0</v>
      </c>
      <c r="F66" s="15">
        <f t="shared" ref="F66:F40" si="4">IF($A66="","",IFERROR($D66/$C66,0))</f>
        <v>1</v>
      </c>
      <c r="G66" s="12" t="s">
        <v>52</v>
      </c>
      <c r="H66" s="74"/>
      <c r="I66" s="74"/>
    </row>
    <row r="67" spans="1:11" ht="18" customHeight="1" x14ac:dyDescent="0.3">
      <c r="A67" s="11" t="s">
        <v>146</v>
      </c>
      <c r="B67" s="12" t="s">
        <v>35</v>
      </c>
      <c r="C67" s="13">
        <v>5500</v>
      </c>
      <c r="D67" s="13">
        <v>5500</v>
      </c>
      <c r="E67" s="14">
        <f t="shared" ref="E67:E40" si="3">IF($A67="","",$C67-$D67)</f>
        <v>0</v>
      </c>
      <c r="F67" s="15">
        <f t="shared" ref="F67:F40" si="4">IF($A67="","",IFERROR($D67/$C67,0))</f>
        <v>1</v>
      </c>
      <c r="G67" s="12" t="s">
        <v>52</v>
      </c>
      <c r="H67" s="74"/>
      <c r="I67" s="74"/>
    </row>
    <row r="68" spans="1:11" ht="18" customHeight="1" x14ac:dyDescent="0.3">
      <c r="A68" s="11" t="s">
        <v>146</v>
      </c>
      <c r="B68" s="12" t="s">
        <v>35</v>
      </c>
      <c r="C68" s="13">
        <v>5500</v>
      </c>
      <c r="D68" s="13">
        <v>5500</v>
      </c>
      <c r="E68" s="14">
        <f t="shared" ref="E68:E40" si="3">IF($A68="","",$C68-$D68)</f>
        <v>0</v>
      </c>
      <c r="F68" s="15">
        <f t="shared" ref="F68:F40" si="4">IF($A68="","",IFERROR($D68/$C68,0))</f>
        <v>1</v>
      </c>
      <c r="G68" s="12" t="s">
        <v>52</v>
      </c>
      <c r="H68" s="74"/>
      <c r="I68" s="74"/>
    </row>
    <row r="69" spans="1:11" ht="18" customHeight="1" x14ac:dyDescent="0.3">
      <c r="A69" s="11" t="s">
        <v>146</v>
      </c>
      <c r="B69" s="12" t="s">
        <v>35</v>
      </c>
      <c r="C69" s="13">
        <v>5500</v>
      </c>
      <c r="D69" s="13">
        <v>5500</v>
      </c>
      <c r="E69" s="14">
        <f t="shared" ref="E69:E40" si="3">IF($A69="","",$C69-$D69)</f>
        <v>0</v>
      </c>
      <c r="F69" s="15">
        <f t="shared" ref="F69:F40" si="4">IF($A69="","",IFERROR($D69/$C69,0))</f>
        <v>1</v>
      </c>
      <c r="G69" s="12" t="s">
        <v>52</v>
      </c>
      <c r="H69" s="74"/>
      <c r="I69" s="74"/>
    </row>
    <row r="70" spans="1:11" ht="18" customHeight="1" x14ac:dyDescent="0.3">
      <c r="A70" s="11" t="s">
        <v>146</v>
      </c>
      <c r="B70" s="12" t="s">
        <v>35</v>
      </c>
      <c r="C70" s="13">
        <v>5500</v>
      </c>
      <c r="D70" s="13">
        <v>5500</v>
      </c>
      <c r="E70" s="14">
        <f t="shared" ref="E70:E40" si="3">IF($A70="","",$C70-$D70)</f>
        <v>0</v>
      </c>
      <c r="F70" s="15">
        <f t="shared" ref="F70:F40" si="4">IF($A70="","",IFERROR($D70/$C70,0))</f>
        <v>1</v>
      </c>
      <c r="G70" s="12" t="s">
        <v>52</v>
      </c>
      <c r="H70" s="74"/>
      <c r="I70" s="74"/>
    </row>
    <row r="71" spans="1:11" ht="18" customHeight="1" x14ac:dyDescent="0.3">
      <c r="A71" s="11" t="s">
        <v>146</v>
      </c>
      <c r="B71" s="12" t="s">
        <v>35</v>
      </c>
      <c r="C71" s="13">
        <v>5500</v>
      </c>
      <c r="D71" s="13">
        <v>5500</v>
      </c>
      <c r="E71" s="14">
        <f t="shared" ref="E71:E40" si="3">IF($A71="","",$C71-$D71)</f>
        <v>0</v>
      </c>
      <c r="F71" s="15">
        <f t="shared" ref="F71:F40" si="4">IF($A71="","",IFERROR($D71/$C71,0))</f>
        <v>1</v>
      </c>
      <c r="G71" s="12" t="s">
        <v>52</v>
      </c>
      <c r="H71" s="74"/>
      <c r="I71" s="74"/>
    </row>
    <row r="72" spans="1:11" ht="18" customHeight="1" x14ac:dyDescent="0.3">
      <c r="A72" s="11" t="s">
        <v>146</v>
      </c>
      <c r="B72" s="12" t="s">
        <v>35</v>
      </c>
      <c r="C72" s="13">
        <v>5500</v>
      </c>
      <c r="D72" s="13">
        <v>5500</v>
      </c>
      <c r="E72" s="14">
        <f t="shared" ref="E72:E40" si="3">IF($A72="","",$C72-$D72)</f>
        <v>0</v>
      </c>
      <c r="F72" s="15">
        <f t="shared" ref="F72:F40" si="4">IF($A72="","",IFERROR($D72/$C72,0))</f>
        <v>1</v>
      </c>
      <c r="G72" s="12" t="s">
        <v>52</v>
      </c>
      <c r="H72" s="74"/>
      <c r="I72" s="74"/>
    </row>
    <row r="73" spans="1:11" ht="18" customHeight="1" x14ac:dyDescent="0.3">
      <c r="A73" s="11" t="s">
        <v>146</v>
      </c>
      <c r="B73" s="12" t="s">
        <v>35</v>
      </c>
      <c r="C73" s="13">
        <v>5500</v>
      </c>
      <c r="D73" s="13">
        <v>5500</v>
      </c>
      <c r="E73" s="14">
        <f t="shared" ref="E73:E40" si="3">IF($A73="","",$C73-$D73)</f>
        <v>0</v>
      </c>
      <c r="F73" s="15">
        <f t="shared" ref="F73:F40" si="4">IF($A73="","",IFERROR($D73/$C73,0))</f>
        <v>1</v>
      </c>
      <c r="G73" s="12" t="s">
        <v>52</v>
      </c>
      <c r="H73" s="74"/>
      <c r="I73" s="74"/>
    </row>
    <row r="74" spans="1:11" ht="18" customHeight="1" x14ac:dyDescent="0.3">
      <c r="A74" s="11" t="s">
        <v>146</v>
      </c>
      <c r="B74" s="12" t="s">
        <v>35</v>
      </c>
      <c r="C74" s="13">
        <v>5500</v>
      </c>
      <c r="D74" s="13">
        <v>5500</v>
      </c>
      <c r="E74" s="14">
        <f t="shared" ref="E74:E40" si="3">IF($A74="","",$C74-$D74)</f>
        <v>0</v>
      </c>
      <c r="F74" s="15">
        <f t="shared" ref="F74:F40" si="4">IF($A74="","",IFERROR($D74/$C74,0))</f>
        <v>1</v>
      </c>
      <c r="G74" s="12" t="s">
        <v>52</v>
      </c>
      <c r="H74" s="74"/>
      <c r="I74" s="74"/>
    </row>
    <row r="75" spans="1:11" ht="18" customHeight="1" x14ac:dyDescent="0.3">
      <c r="A75" s="11" t="s">
        <v>146</v>
      </c>
      <c r="B75" s="12" t="s">
        <v>35</v>
      </c>
      <c r="C75" s="13">
        <v>5500</v>
      </c>
      <c r="D75" s="13">
        <v>5500</v>
      </c>
      <c r="E75" s="14">
        <f t="shared" ref="E75:E40" si="3">IF($A75="","",$C75-$D75)</f>
        <v>0</v>
      </c>
      <c r="F75" s="15">
        <f t="shared" ref="F75:F40" si="4">IF($A75="","",IFERROR($D75/$C75,0))</f>
        <v>1</v>
      </c>
      <c r="G75" s="12" t="s">
        <v>52</v>
      </c>
      <c r="H75" s="74"/>
      <c r="I75" s="74"/>
    </row>
    <row r="76" spans="1:11" ht="21.75" customHeight="1" x14ac:dyDescent="0.3">
      <c r="A76" s="61" t="s">
        <v>53</v>
      </c>
      <c r="B76" s="61"/>
      <c r="C76" s="61"/>
      <c r="D76" s="61"/>
      <c r="E76" s="61"/>
      <c r="F76" s="61"/>
      <c r="G76" s="61"/>
      <c r="H76" s="61"/>
      <c r="I76" s="61"/>
    </row>
    <row r="77" spans="1:11" ht="27.75" customHeight="1" x14ac:dyDescent="0.3">
      <c r="A77" s="10" t="s">
        <v>54</v>
      </c>
      <c r="B77" s="10" t="s">
        <v>55</v>
      </c>
      <c r="C77" s="10" t="s">
        <v>56</v>
      </c>
      <c r="D77" s="10" t="s">
        <v>57</v>
      </c>
      <c r="E77" s="10" t="s">
        <v>58</v>
      </c>
      <c r="F77" s="10" t="s">
        <v>59</v>
      </c>
      <c r="G77" s="10" t="s">
        <v>60</v>
      </c>
      <c r="H77" s="10" t="s">
        <v>61</v>
      </c>
      <c r="I77" s="10" t="s">
        <v>32</v>
      </c>
    </row>
    <row r="78" spans="1:11" ht="18" customHeight="1" x14ac:dyDescent="0.3">
      <c r="A78" s="19">
        <v>48275595901</v>
      </c>
      <c r="B78" s="12" t="s">
        <v>62</v>
      </c>
      <c r="C78" s="11" t="s">
        <v>140</v>
      </c>
      <c r="D78" s="12" t="s">
        <v>63</v>
      </c>
      <c r="E78" s="30">
        <v>46210</v>
      </c>
      <c r="F78" s="30">
        <v>46270</v>
      </c>
      <c r="G78" s="13">
        <v>341.84</v>
      </c>
      <c r="H78" s="13">
        <v>341.84</v>
      </c>
      <c r="I78" s="15">
        <f>IF($A78="","",IFERROR(MIN($H78/$G78,1),0))</f>
        <v>1</v>
      </c>
    </row>
    <row r="79" spans="1:11" ht="18" customHeight="1" x14ac:dyDescent="0.3">
      <c r="A79" s="31" t="s">
        <v>150</v>
      </c>
      <c r="B79" s="12" t="s">
        <v>62</v>
      </c>
      <c r="C79" s="11" t="s">
        <v>140</v>
      </c>
      <c r="D79" s="19" t="s">
        <v>63</v>
      </c>
      <c r="E79" s="32">
        <v>46229</v>
      </c>
      <c r="F79" s="33">
        <v>46249</v>
      </c>
      <c r="G79" s="21">
        <v>10.25</v>
      </c>
      <c r="H79" s="21">
        <v>10.25</v>
      </c>
      <c r="I79" s="23">
        <f t="shared" ref="I79:I85" si="5">IF($A79="","",IFERROR(MIN($H79/$G79,1),0))</f>
        <v>1</v>
      </c>
    </row>
    <row r="80" spans="1:11" ht="18" customHeight="1" x14ac:dyDescent="0.3">
      <c r="A80" s="31" t="s">
        <v>151</v>
      </c>
      <c r="B80" s="12" t="s">
        <v>62</v>
      </c>
      <c r="C80" s="11" t="s">
        <v>140</v>
      </c>
      <c r="D80" s="19" t="s">
        <v>63</v>
      </c>
      <c r="E80" s="32">
        <v>46229</v>
      </c>
      <c r="F80" s="33">
        <v>46249</v>
      </c>
      <c r="G80" s="13">
        <v>12.5</v>
      </c>
      <c r="H80" s="13">
        <v>12.5</v>
      </c>
      <c r="I80" s="23">
        <f t="shared" si="5"/>
        <v>1</v>
      </c>
    </row>
    <row r="81" spans="1:9" ht="18" customHeight="1" x14ac:dyDescent="0.3">
      <c r="A81" s="31" t="s">
        <v>156</v>
      </c>
      <c r="B81" s="12" t="s">
        <v>62</v>
      </c>
      <c r="C81" s="11" t="s">
        <v>140</v>
      </c>
      <c r="D81" s="19" t="s">
        <v>63</v>
      </c>
      <c r="E81" s="32">
        <v>46229</v>
      </c>
      <c r="F81" s="33">
        <v>46249</v>
      </c>
      <c r="G81" s="13">
        <v>12.98</v>
      </c>
      <c r="H81" s="13">
        <v>12.98</v>
      </c>
      <c r="I81" s="23">
        <f t="shared" si="5"/>
        <v>1</v>
      </c>
    </row>
    <row r="82" spans="1:9" ht="18" customHeight="1" x14ac:dyDescent="0.3">
      <c r="A82" s="31" t="s">
        <v>158</v>
      </c>
      <c r="B82" s="12" t="s">
        <v>62</v>
      </c>
      <c r="C82" s="11" t="s">
        <v>140</v>
      </c>
      <c r="D82" s="19" t="s">
        <v>63</v>
      </c>
      <c r="E82" s="32">
        <v>46229</v>
      </c>
      <c r="F82" s="33">
        <v>46249</v>
      </c>
      <c r="G82" s="13">
        <v>8.8000000000000007</v>
      </c>
      <c r="H82" s="13">
        <v>8.8000000000000007</v>
      </c>
      <c r="I82" s="23">
        <f t="shared" si="5"/>
        <v>1</v>
      </c>
    </row>
    <row r="83" spans="1:9" ht="18" customHeight="1" x14ac:dyDescent="0.3">
      <c r="A83" s="31" t="s">
        <v>159</v>
      </c>
      <c r="B83" s="12" t="s">
        <v>62</v>
      </c>
      <c r="C83" s="11" t="s">
        <v>140</v>
      </c>
      <c r="D83" s="19" t="s">
        <v>63</v>
      </c>
      <c r="E83" s="32">
        <v>46230</v>
      </c>
      <c r="F83" s="33">
        <v>46250</v>
      </c>
      <c r="G83" s="13">
        <v>79.64</v>
      </c>
      <c r="H83" s="13">
        <v>79.64</v>
      </c>
      <c r="I83" s="23">
        <f t="shared" si="5"/>
        <v>1</v>
      </c>
    </row>
    <row r="84" spans="1:9" ht="18" customHeight="1" x14ac:dyDescent="0.3">
      <c r="A84" s="31" t="s">
        <v>152</v>
      </c>
      <c r="B84" s="12" t="s">
        <v>62</v>
      </c>
      <c r="C84" s="11" t="s">
        <v>140</v>
      </c>
      <c r="D84" s="19" t="s">
        <v>63</v>
      </c>
      <c r="E84" s="32">
        <v>46231</v>
      </c>
      <c r="F84" s="33">
        <v>46251</v>
      </c>
      <c r="G84" s="13">
        <v>8.3000000000000007</v>
      </c>
      <c r="H84" s="13">
        <v>8.3000000000000007</v>
      </c>
      <c r="I84" s="23">
        <f t="shared" si="5"/>
        <v>1</v>
      </c>
    </row>
    <row r="85" spans="1:9" ht="18" customHeight="1" x14ac:dyDescent="0.3">
      <c r="A85" s="31" t="s">
        <v>157</v>
      </c>
      <c r="B85" s="12" t="s">
        <v>62</v>
      </c>
      <c r="C85" s="11" t="s">
        <v>140</v>
      </c>
      <c r="D85" s="19" t="s">
        <v>63</v>
      </c>
      <c r="E85" s="32">
        <v>46232</v>
      </c>
      <c r="F85" s="33">
        <v>46252</v>
      </c>
      <c r="G85" s="13">
        <v>8.4</v>
      </c>
      <c r="H85" s="13">
        <v>8.4</v>
      </c>
      <c r="I85" s="23">
        <f t="shared" si="5"/>
        <v>1</v>
      </c>
    </row>
    <row r="86" spans="1:9" ht="18" customHeight="1" x14ac:dyDescent="0.3">
      <c r="A86" s="31" t="s">
        <v>155</v>
      </c>
      <c r="B86" s="12" t="s">
        <v>62</v>
      </c>
      <c r="C86" s="11" t="s">
        <v>140</v>
      </c>
      <c r="D86" s="19" t="s">
        <v>63</v>
      </c>
      <c r="E86" s="32">
        <v>46235</v>
      </c>
      <c r="F86" s="33">
        <v>46255</v>
      </c>
      <c r="G86" s="13">
        <v>8</v>
      </c>
      <c r="H86" s="13">
        <v>8</v>
      </c>
      <c r="I86" s="23">
        <f t="shared" ref="I86:I95" si="6">IF($A86="","",IFERROR(MIN($H86/$G86,1),0))</f>
        <v>1</v>
      </c>
    </row>
    <row r="87" spans="1:9" ht="18" customHeight="1" x14ac:dyDescent="0.3">
      <c r="A87" s="31" t="s">
        <v>153</v>
      </c>
      <c r="B87" s="12" t="s">
        <v>62</v>
      </c>
      <c r="C87" s="11" t="s">
        <v>140</v>
      </c>
      <c r="D87" s="19" t="s">
        <v>63</v>
      </c>
      <c r="E87" s="32">
        <v>46236</v>
      </c>
      <c r="F87" s="33">
        <v>46256</v>
      </c>
      <c r="G87" s="13">
        <v>8.6999999999999993</v>
      </c>
      <c r="H87" s="13">
        <v>8.6999999999999993</v>
      </c>
      <c r="I87" s="23">
        <f t="shared" si="6"/>
        <v>1</v>
      </c>
    </row>
    <row r="88" spans="1:9" ht="18" customHeight="1" x14ac:dyDescent="0.3">
      <c r="A88" s="31" t="s">
        <v>154</v>
      </c>
      <c r="B88" s="12" t="s">
        <v>62</v>
      </c>
      <c r="C88" s="11" t="s">
        <v>140</v>
      </c>
      <c r="D88" s="19" t="s">
        <v>63</v>
      </c>
      <c r="E88" s="32">
        <v>46236</v>
      </c>
      <c r="F88" s="33">
        <v>46256</v>
      </c>
      <c r="G88" s="13">
        <v>8.6999999999999993</v>
      </c>
      <c r="H88" s="13">
        <v>8.6999999999999993</v>
      </c>
      <c r="I88" s="23">
        <f t="shared" si="6"/>
        <v>1</v>
      </c>
    </row>
    <row r="89" spans="1:9" ht="18" customHeight="1" x14ac:dyDescent="0.3">
      <c r="A89" s="19">
        <v>480225242956</v>
      </c>
      <c r="B89" s="12" t="s">
        <v>62</v>
      </c>
      <c r="C89" s="11" t="s">
        <v>140</v>
      </c>
      <c r="D89" s="19" t="s">
        <v>63</v>
      </c>
      <c r="E89" s="32">
        <v>46236</v>
      </c>
      <c r="F89" s="33">
        <v>46256</v>
      </c>
      <c r="G89" s="13">
        <v>8.3000000000000007</v>
      </c>
      <c r="H89" s="13">
        <v>8.3000000000000007</v>
      </c>
      <c r="I89" s="23">
        <f t="shared" si="6"/>
        <v>1</v>
      </c>
    </row>
    <row r="90" spans="1:9" ht="18" customHeight="1" x14ac:dyDescent="0.3">
      <c r="A90" s="31" t="s">
        <v>161</v>
      </c>
      <c r="B90" s="12" t="s">
        <v>62</v>
      </c>
      <c r="C90" s="11" t="s">
        <v>140</v>
      </c>
      <c r="D90" s="19" t="s">
        <v>63</v>
      </c>
      <c r="E90" s="32">
        <v>46238</v>
      </c>
      <c r="F90" s="33">
        <v>46258</v>
      </c>
      <c r="G90" s="13">
        <v>10.9</v>
      </c>
      <c r="H90" s="13">
        <v>10.9</v>
      </c>
      <c r="I90" s="23">
        <f t="shared" si="6"/>
        <v>1</v>
      </c>
    </row>
    <row r="91" spans="1:9" ht="18" customHeight="1" x14ac:dyDescent="0.3">
      <c r="A91" s="31" t="s">
        <v>160</v>
      </c>
      <c r="B91" s="12" t="s">
        <v>62</v>
      </c>
      <c r="C91" s="11" t="s">
        <v>140</v>
      </c>
      <c r="D91" s="19" t="s">
        <v>63</v>
      </c>
      <c r="E91" s="32">
        <v>46242</v>
      </c>
      <c r="F91" s="33">
        <v>46262</v>
      </c>
      <c r="G91" s="13">
        <v>8</v>
      </c>
      <c r="H91" s="13">
        <v>8</v>
      </c>
      <c r="I91" s="23">
        <f t="shared" si="6"/>
        <v>1</v>
      </c>
    </row>
    <row r="92" spans="1:9" ht="18" customHeight="1" x14ac:dyDescent="0.3">
      <c r="A92" s="19">
        <v>48276561993</v>
      </c>
      <c r="B92" s="12" t="s">
        <v>62</v>
      </c>
      <c r="C92" s="11" t="s">
        <v>140</v>
      </c>
      <c r="D92" s="12" t="s">
        <v>63</v>
      </c>
      <c r="E92" s="30">
        <v>46245</v>
      </c>
      <c r="F92" s="30">
        <v>46305</v>
      </c>
      <c r="G92" s="13">
        <v>18.09</v>
      </c>
      <c r="H92" s="13">
        <v>18.09</v>
      </c>
      <c r="I92" s="15">
        <f t="shared" si="6"/>
        <v>1</v>
      </c>
    </row>
    <row r="93" spans="1:9" ht="18" customHeight="1" x14ac:dyDescent="0.3">
      <c r="A93" s="19">
        <v>48276564423</v>
      </c>
      <c r="B93" s="12" t="s">
        <v>62</v>
      </c>
      <c r="C93" s="11" t="s">
        <v>140</v>
      </c>
      <c r="D93" s="19" t="s">
        <v>63</v>
      </c>
      <c r="E93" s="30">
        <v>46245</v>
      </c>
      <c r="F93" s="30">
        <v>46305</v>
      </c>
      <c r="G93" s="21">
        <v>8.0399999999999991</v>
      </c>
      <c r="H93" s="21">
        <v>8.0399999999999991</v>
      </c>
      <c r="I93" s="23">
        <f t="shared" si="6"/>
        <v>1</v>
      </c>
    </row>
    <row r="94" spans="1:9" ht="18" customHeight="1" x14ac:dyDescent="0.3">
      <c r="A94" s="19">
        <v>48276751279</v>
      </c>
      <c r="B94" s="12" t="s">
        <v>62</v>
      </c>
      <c r="C94" s="11" t="s">
        <v>140</v>
      </c>
      <c r="D94" s="12" t="s">
        <v>63</v>
      </c>
      <c r="E94" s="30">
        <v>46251</v>
      </c>
      <c r="F94" s="30">
        <v>46311</v>
      </c>
      <c r="G94" s="13">
        <v>11.6</v>
      </c>
      <c r="H94" s="13">
        <v>11.6</v>
      </c>
      <c r="I94" s="15">
        <f t="shared" si="6"/>
        <v>1</v>
      </c>
    </row>
    <row r="95" spans="1:9" ht="18" customHeight="1" x14ac:dyDescent="0.3">
      <c r="A95" s="19">
        <v>48277046331</v>
      </c>
      <c r="B95" s="12" t="s">
        <v>62</v>
      </c>
      <c r="C95" s="11" t="s">
        <v>140</v>
      </c>
      <c r="D95" s="19" t="s">
        <v>187</v>
      </c>
      <c r="E95" s="33">
        <v>46263</v>
      </c>
      <c r="F95" s="33">
        <v>46338</v>
      </c>
      <c r="G95" s="21">
        <v>0</v>
      </c>
      <c r="H95" s="13">
        <v>0</v>
      </c>
      <c r="I95" s="23">
        <f t="shared" si="6"/>
        <v>0</v>
      </c>
    </row>
    <row r="96" spans="1:9" ht="18" customHeight="1" x14ac:dyDescent="0.3">
      <c r="A96" s="12">
        <v>48277046604</v>
      </c>
      <c r="B96" s="12" t="s">
        <v>62</v>
      </c>
      <c r="C96" s="11" t="s">
        <v>140</v>
      </c>
      <c r="D96" s="19" t="s">
        <v>187</v>
      </c>
      <c r="E96" s="33">
        <v>46263</v>
      </c>
      <c r="F96" s="33">
        <v>46338</v>
      </c>
      <c r="G96" s="21">
        <v>0</v>
      </c>
      <c r="H96" s="13">
        <v>0</v>
      </c>
      <c r="I96" s="23">
        <f t="shared" ref="I96:I109" si="7">IF($A96="","",IFERROR(MIN($H96/$G96,1),0))</f>
        <v>0</v>
      </c>
    </row>
    <row r="97" spans="1:9" ht="18" customHeight="1" x14ac:dyDescent="0.3">
      <c r="A97" s="12">
        <v>48277046632</v>
      </c>
      <c r="B97" s="12" t="s">
        <v>62</v>
      </c>
      <c r="C97" s="11" t="s">
        <v>140</v>
      </c>
      <c r="D97" s="19" t="s">
        <v>187</v>
      </c>
      <c r="E97" s="33">
        <v>46263</v>
      </c>
      <c r="F97" s="33">
        <v>46338</v>
      </c>
      <c r="G97" s="21">
        <v>0</v>
      </c>
      <c r="H97" s="13">
        <v>0</v>
      </c>
      <c r="I97" s="23">
        <f t="shared" si="7"/>
        <v>0</v>
      </c>
    </row>
    <row r="98" spans="1:9" ht="18" customHeight="1" x14ac:dyDescent="0.3">
      <c r="A98" s="19">
        <v>48277050077</v>
      </c>
      <c r="B98" s="12" t="s">
        <v>62</v>
      </c>
      <c r="C98" s="11" t="s">
        <v>140</v>
      </c>
      <c r="D98" s="19" t="s">
        <v>187</v>
      </c>
      <c r="E98" s="33">
        <v>46263</v>
      </c>
      <c r="F98" s="33">
        <v>46338</v>
      </c>
      <c r="G98" s="21">
        <v>0</v>
      </c>
      <c r="H98" s="13">
        <v>0</v>
      </c>
      <c r="I98" s="23">
        <f t="shared" si="7"/>
        <v>0</v>
      </c>
    </row>
    <row r="99" spans="1:9" ht="18" customHeight="1" x14ac:dyDescent="0.3">
      <c r="A99" s="19">
        <v>48277050396</v>
      </c>
      <c r="B99" s="12" t="s">
        <v>62</v>
      </c>
      <c r="C99" s="11" t="s">
        <v>140</v>
      </c>
      <c r="D99" s="19" t="s">
        <v>187</v>
      </c>
      <c r="E99" s="33">
        <v>46263</v>
      </c>
      <c r="F99" s="33">
        <v>46338</v>
      </c>
      <c r="G99" s="21">
        <v>0</v>
      </c>
      <c r="H99" s="13">
        <v>0</v>
      </c>
      <c r="I99" s="23">
        <f t="shared" si="7"/>
        <v>0</v>
      </c>
    </row>
    <row r="100" spans="1:9" ht="18" customHeight="1" x14ac:dyDescent="0.3">
      <c r="A100" s="19">
        <v>48277050483</v>
      </c>
      <c r="B100" s="12" t="s">
        <v>62</v>
      </c>
      <c r="C100" s="11" t="s">
        <v>140</v>
      </c>
      <c r="D100" s="19" t="s">
        <v>187</v>
      </c>
      <c r="E100" s="33">
        <v>46263</v>
      </c>
      <c r="F100" s="33">
        <v>46338</v>
      </c>
      <c r="G100" s="21">
        <v>0</v>
      </c>
      <c r="H100" s="13">
        <v>0</v>
      </c>
      <c r="I100" s="23">
        <f t="shared" si="7"/>
        <v>0</v>
      </c>
    </row>
    <row r="101" spans="1:9" ht="18" customHeight="1" x14ac:dyDescent="0.3">
      <c r="A101" s="19">
        <v>48277050643</v>
      </c>
      <c r="B101" s="12" t="s">
        <v>62</v>
      </c>
      <c r="C101" s="11" t="s">
        <v>140</v>
      </c>
      <c r="D101" s="19" t="s">
        <v>187</v>
      </c>
      <c r="E101" s="33">
        <v>46263</v>
      </c>
      <c r="F101" s="33">
        <v>46338</v>
      </c>
      <c r="G101" s="21">
        <v>0</v>
      </c>
      <c r="H101" s="13">
        <v>0</v>
      </c>
      <c r="I101" s="23">
        <f t="shared" si="7"/>
        <v>0</v>
      </c>
    </row>
    <row r="102" spans="1:9" ht="18" customHeight="1" x14ac:dyDescent="0.3">
      <c r="A102" s="19">
        <v>48277122475</v>
      </c>
      <c r="B102" s="12" t="s">
        <v>62</v>
      </c>
      <c r="C102" s="11" t="s">
        <v>140</v>
      </c>
      <c r="D102" s="12" t="s">
        <v>63</v>
      </c>
      <c r="E102" s="33">
        <v>46265</v>
      </c>
      <c r="F102" s="33">
        <v>46340</v>
      </c>
      <c r="G102" s="21">
        <v>11.6</v>
      </c>
      <c r="H102" s="13">
        <v>12</v>
      </c>
      <c r="I102" s="23">
        <f t="shared" si="7"/>
        <v>1</v>
      </c>
    </row>
    <row r="103" spans="1:9" ht="18" customHeight="1" x14ac:dyDescent="0.3">
      <c r="A103" s="19">
        <v>48277123458</v>
      </c>
      <c r="B103" s="12" t="s">
        <v>62</v>
      </c>
      <c r="C103" s="11" t="s">
        <v>140</v>
      </c>
      <c r="D103" s="12" t="s">
        <v>63</v>
      </c>
      <c r="E103" s="33">
        <v>46265</v>
      </c>
      <c r="F103" s="33">
        <v>46340</v>
      </c>
      <c r="G103" s="21">
        <v>12.14</v>
      </c>
      <c r="H103" s="13">
        <v>12.14</v>
      </c>
      <c r="I103" s="23">
        <f t="shared" si="7"/>
        <v>1</v>
      </c>
    </row>
    <row r="104" spans="1:9" ht="18" customHeight="1" x14ac:dyDescent="0.3">
      <c r="A104" s="19">
        <v>48277123885</v>
      </c>
      <c r="B104" s="12" t="s">
        <v>62</v>
      </c>
      <c r="C104" s="11" t="s">
        <v>140</v>
      </c>
      <c r="D104" s="12" t="s">
        <v>63</v>
      </c>
      <c r="E104" s="33">
        <v>46265</v>
      </c>
      <c r="F104" s="33">
        <v>46340</v>
      </c>
      <c r="G104" s="21">
        <v>14.75</v>
      </c>
      <c r="H104" s="13">
        <v>15</v>
      </c>
      <c r="I104" s="23">
        <f t="shared" si="7"/>
        <v>1</v>
      </c>
    </row>
    <row r="105" spans="1:9" ht="18" customHeight="1" x14ac:dyDescent="0.3">
      <c r="A105" s="19">
        <v>48277124394</v>
      </c>
      <c r="B105" s="12" t="s">
        <v>62</v>
      </c>
      <c r="C105" s="11" t="s">
        <v>140</v>
      </c>
      <c r="D105" s="19" t="s">
        <v>113</v>
      </c>
      <c r="E105" s="33">
        <v>46265</v>
      </c>
      <c r="F105" s="33">
        <v>46340</v>
      </c>
      <c r="G105" s="21">
        <v>40.17</v>
      </c>
      <c r="H105" s="13">
        <v>0</v>
      </c>
      <c r="I105" s="23">
        <f t="shared" si="7"/>
        <v>0</v>
      </c>
    </row>
    <row r="106" spans="1:9" ht="18" customHeight="1" x14ac:dyDescent="0.3">
      <c r="A106" s="19">
        <v>48277124606</v>
      </c>
      <c r="B106" s="12" t="s">
        <v>62</v>
      </c>
      <c r="C106" s="11" t="s">
        <v>140</v>
      </c>
      <c r="D106" s="19" t="s">
        <v>187</v>
      </c>
      <c r="E106" s="33">
        <v>46265</v>
      </c>
      <c r="F106" s="33">
        <v>46340</v>
      </c>
      <c r="G106" s="21">
        <v>14.15</v>
      </c>
      <c r="H106" s="13">
        <v>0</v>
      </c>
      <c r="I106" s="23">
        <f t="shared" si="7"/>
        <v>0</v>
      </c>
    </row>
    <row r="107" spans="1:9" ht="18" customHeight="1" x14ac:dyDescent="0.3">
      <c r="A107" s="19">
        <v>48277125454</v>
      </c>
      <c r="B107" s="12" t="s">
        <v>62</v>
      </c>
      <c r="C107" s="11" t="s">
        <v>140</v>
      </c>
      <c r="D107" s="12" t="s">
        <v>63</v>
      </c>
      <c r="E107" s="33">
        <v>46265</v>
      </c>
      <c r="F107" s="33">
        <v>46340</v>
      </c>
      <c r="G107" s="21">
        <v>18.28</v>
      </c>
      <c r="H107" s="13">
        <v>0</v>
      </c>
      <c r="I107" s="23">
        <f t="shared" si="7"/>
        <v>0</v>
      </c>
    </row>
    <row r="108" spans="1:9" ht="18" customHeight="1" x14ac:dyDescent="0.3">
      <c r="A108" s="19">
        <v>48277193034</v>
      </c>
      <c r="B108" s="12" t="s">
        <v>62</v>
      </c>
      <c r="C108" s="11" t="s">
        <v>140</v>
      </c>
      <c r="D108" s="12" t="s">
        <v>63</v>
      </c>
      <c r="E108" s="33">
        <v>46268</v>
      </c>
      <c r="F108" s="33">
        <v>46343</v>
      </c>
      <c r="G108" s="21">
        <v>11.06</v>
      </c>
      <c r="H108" s="21">
        <v>0</v>
      </c>
      <c r="I108" s="23">
        <f t="shared" si="7"/>
        <v>0</v>
      </c>
    </row>
    <row r="109" spans="1:9" ht="18" customHeight="1" x14ac:dyDescent="0.3">
      <c r="A109" s="19">
        <v>48277197026</v>
      </c>
      <c r="B109" s="12" t="s">
        <v>62</v>
      </c>
      <c r="C109" s="11" t="s">
        <v>140</v>
      </c>
      <c r="D109" s="12" t="s">
        <v>63</v>
      </c>
      <c r="E109" s="33">
        <v>46268</v>
      </c>
      <c r="F109" s="33">
        <v>46343</v>
      </c>
      <c r="G109" s="21">
        <v>7.07</v>
      </c>
      <c r="H109" s="21">
        <v>0</v>
      </c>
      <c r="I109" s="23">
        <f t="shared" si="7"/>
        <v>0</v>
      </c>
    </row>
    <row r="110" spans="1:11" ht="18" customHeight="1" x14ac:dyDescent="0.3">
      <c r="A110" s="19">
        <v>48275595901</v>
      </c>
      <c r="B110" s="12" t="s">
        <v>62</v>
      </c>
      <c r="C110" s="11" t="s">
        <v>140</v>
      </c>
      <c r="D110" s="12" t="s">
        <v>63</v>
      </c>
      <c r="E110" s="30">
        <v>46210</v>
      </c>
      <c r="F110" s="30">
        <v>46270</v>
      </c>
      <c r="G110" s="13">
        <v>341.84</v>
      </c>
      <c r="H110" s="13">
        <v>341.84</v>
      </c>
      <c r="I110" s="15">
        <f>IF($A110="","",IFERROR(MIN($H110/$G110,1),0))</f>
        <v>1</v>
      </c>
    </row>
    <row r="111" spans="1:11" ht="18" customHeight="1" x14ac:dyDescent="0.3">
      <c r="A111" s="19">
        <v>48275595901</v>
      </c>
      <c r="B111" s="12" t="s">
        <v>62</v>
      </c>
      <c r="C111" s="11" t="s">
        <v>140</v>
      </c>
      <c r="D111" s="12" t="s">
        <v>63</v>
      </c>
      <c r="E111" s="30">
        <v>46210</v>
      </c>
      <c r="F111" s="30">
        <v>46270</v>
      </c>
      <c r="G111" s="13">
        <v>341.84</v>
      </c>
      <c r="H111" s="13">
        <v>341.84</v>
      </c>
      <c r="I111" s="15">
        <f>IF($A111="","",IFERROR(MIN($H111/$G111,1),0))</f>
        <v>1</v>
      </c>
    </row>
    <row r="112" spans="1:11" ht="18" customHeight="1" x14ac:dyDescent="0.3">
      <c r="A112" s="19">
        <v>48275595901</v>
      </c>
      <c r="B112" s="12" t="s">
        <v>62</v>
      </c>
      <c r="C112" s="11" t="s">
        <v>140</v>
      </c>
      <c r="D112" s="12" t="s">
        <v>63</v>
      </c>
      <c r="E112" s="30">
        <v>46210</v>
      </c>
      <c r="F112" s="30">
        <v>46270</v>
      </c>
      <c r="G112" s="13">
        <v>341.84</v>
      </c>
      <c r="H112" s="13">
        <v>341.84</v>
      </c>
      <c r="I112" s="15">
        <f>IF($A112="","",IFERROR(MIN($H112/$G112,1),0))</f>
        <v>1</v>
      </c>
    </row>
    <row r="113" spans="1:11" ht="18" customHeight="1" x14ac:dyDescent="0.3">
      <c r="A113" s="19">
        <v>48275595901</v>
      </c>
      <c r="B113" s="12" t="s">
        <v>62</v>
      </c>
      <c r="C113" s="11" t="s">
        <v>140</v>
      </c>
      <c r="D113" s="12" t="s">
        <v>63</v>
      </c>
      <c r="E113" s="30">
        <v>46210</v>
      </c>
      <c r="F113" s="30">
        <v>46270</v>
      </c>
      <c r="G113" s="13">
        <v>341.84</v>
      </c>
      <c r="H113" s="13">
        <v>341.84</v>
      </c>
      <c r="I113" s="15">
        <f>IF($A113="","",IFERROR(MIN($H113/$G113,1),0))</f>
        <v>1</v>
      </c>
    </row>
    <row r="114" spans="1:11" ht="18" customHeight="1" x14ac:dyDescent="0.3">
      <c r="A114" s="19">
        <v>48275595901</v>
      </c>
      <c r="B114" s="12" t="s">
        <v>62</v>
      </c>
      <c r="C114" s="11" t="s">
        <v>140</v>
      </c>
      <c r="D114" s="12" t="s">
        <v>63</v>
      </c>
      <c r="E114" s="30">
        <v>46210</v>
      </c>
      <c r="F114" s="30">
        <v>46270</v>
      </c>
      <c r="G114" s="13">
        <v>341.84</v>
      </c>
      <c r="H114" s="13">
        <v>341.84</v>
      </c>
      <c r="I114" s="15">
        <f>IF($A114="","",IFERROR(MIN($H114/$G114,1),0))</f>
        <v>1</v>
      </c>
    </row>
    <row r="115" spans="1:11" ht="18" customHeight="1" x14ac:dyDescent="0.3">
      <c r="A115" s="19">
        <v>48275595901</v>
      </c>
      <c r="B115" s="12" t="s">
        <v>62</v>
      </c>
      <c r="C115" s="11" t="s">
        <v>140</v>
      </c>
      <c r="D115" s="12" t="s">
        <v>63</v>
      </c>
      <c r="E115" s="30">
        <v>46210</v>
      </c>
      <c r="F115" s="30">
        <v>46270</v>
      </c>
      <c r="G115" s="13">
        <v>341.84</v>
      </c>
      <c r="H115" s="13">
        <v>341.84</v>
      </c>
      <c r="I115" s="15">
        <f>IF($A115="","",IFERROR(MIN($H115/$G115,1),0))</f>
        <v>1</v>
      </c>
    </row>
    <row r="116" spans="1:11" ht="18" customHeight="1" x14ac:dyDescent="0.3">
      <c r="A116" s="19">
        <v>48275595901</v>
      </c>
      <c r="B116" s="12" t="s">
        <v>62</v>
      </c>
      <c r="C116" s="11" t="s">
        <v>140</v>
      </c>
      <c r="D116" s="12" t="s">
        <v>63</v>
      </c>
      <c r="E116" s="30">
        <v>46210</v>
      </c>
      <c r="F116" s="30">
        <v>46270</v>
      </c>
      <c r="G116" s="13">
        <v>341.84</v>
      </c>
      <c r="H116" s="13">
        <v>341.84</v>
      </c>
      <c r="I116" s="15">
        <f>IF($A116="","",IFERROR(MIN($H116/$G116,1),0))</f>
        <v>1</v>
      </c>
    </row>
    <row r="117" spans="1:11" ht="18" customHeight="1" x14ac:dyDescent="0.3">
      <c r="A117" s="19">
        <v>48275595901</v>
      </c>
      <c r="B117" s="12" t="s">
        <v>62</v>
      </c>
      <c r="C117" s="11" t="s">
        <v>140</v>
      </c>
      <c r="D117" s="12" t="s">
        <v>63</v>
      </c>
      <c r="E117" s="30">
        <v>46210</v>
      </c>
      <c r="F117" s="30">
        <v>46270</v>
      </c>
      <c r="G117" s="13">
        <v>341.84</v>
      </c>
      <c r="H117" s="13">
        <v>341.84</v>
      </c>
      <c r="I117" s="15">
        <f>IF($A117="","",IFERROR(MIN($H117/$G117,1),0))</f>
        <v>1</v>
      </c>
    </row>
    <row r="118" spans="1:11" ht="18" customHeight="1" x14ac:dyDescent="0.3">
      <c r="A118" s="19">
        <v>48275595901</v>
      </c>
      <c r="B118" s="12" t="s">
        <v>62</v>
      </c>
      <c r="C118" s="11" t="s">
        <v>140</v>
      </c>
      <c r="D118" s="12" t="s">
        <v>63</v>
      </c>
      <c r="E118" s="30">
        <v>46210</v>
      </c>
      <c r="F118" s="30">
        <v>46270</v>
      </c>
      <c r="G118" s="13">
        <v>341.84</v>
      </c>
      <c r="H118" s="13">
        <v>341.84</v>
      </c>
      <c r="I118" s="15">
        <f>IF($A118="","",IFERROR(MIN($H118/$G118,1),0))</f>
        <v>1</v>
      </c>
    </row>
    <row r="119" spans="1:11" ht="18" customHeight="1" x14ac:dyDescent="0.3">
      <c r="A119" s="19">
        <v>48275595901</v>
      </c>
      <c r="B119" s="12" t="s">
        <v>62</v>
      </c>
      <c r="C119" s="11" t="s">
        <v>140</v>
      </c>
      <c r="D119" s="12" t="s">
        <v>63</v>
      </c>
      <c r="E119" s="30">
        <v>46210</v>
      </c>
      <c r="F119" s="30">
        <v>46270</v>
      </c>
      <c r="G119" s="13">
        <v>341.84</v>
      </c>
      <c r="H119" s="13">
        <v>341.84</v>
      </c>
      <c r="I119" s="15">
        <f>IF($A119="","",IFERROR(MIN($H119/$G119,1),0))</f>
        <v>1</v>
      </c>
    </row>
    <row r="120" spans="1:11" ht="18" customHeight="1" x14ac:dyDescent="0.3">
      <c r="A120" s="19">
        <v>48275595901</v>
      </c>
      <c r="B120" s="12" t="s">
        <v>62</v>
      </c>
      <c r="C120" s="11" t="s">
        <v>140</v>
      </c>
      <c r="D120" s="12" t="s">
        <v>63</v>
      </c>
      <c r="E120" s="30">
        <v>46210</v>
      </c>
      <c r="F120" s="30">
        <v>46270</v>
      </c>
      <c r="G120" s="13">
        <v>341.84</v>
      </c>
      <c r="H120" s="13">
        <v>341.84</v>
      </c>
      <c r="I120" s="15">
        <f>IF($A120="","",IFERROR(MIN($H120/$G120,1),0))</f>
        <v>1</v>
      </c>
    </row>
    <row r="121" spans="1:11" ht="18" customHeight="1" x14ac:dyDescent="0.3">
      <c r="A121" s="19">
        <v>48275595901</v>
      </c>
      <c r="B121" s="12" t="s">
        <v>62</v>
      </c>
      <c r="C121" s="11" t="s">
        <v>140</v>
      </c>
      <c r="D121" s="12" t="s">
        <v>63</v>
      </c>
      <c r="E121" s="30">
        <v>46210</v>
      </c>
      <c r="F121" s="30">
        <v>46270</v>
      </c>
      <c r="G121" s="13">
        <v>341.84</v>
      </c>
      <c r="H121" s="13">
        <v>341.84</v>
      </c>
      <c r="I121" s="15">
        <f>IF($A121="","",IFERROR(MIN($H121/$G121,1),0))</f>
        <v>1</v>
      </c>
    </row>
    <row r="122" spans="1:11" ht="18" customHeight="1" x14ac:dyDescent="0.3">
      <c r="A122" s="19">
        <v>48275595901</v>
      </c>
      <c r="B122" s="12" t="s">
        <v>62</v>
      </c>
      <c r="C122" s="11" t="s">
        <v>140</v>
      </c>
      <c r="D122" s="12" t="s">
        <v>63</v>
      </c>
      <c r="E122" s="30">
        <v>46210</v>
      </c>
      <c r="F122" s="30">
        <v>46270</v>
      </c>
      <c r="G122" s="13">
        <v>341.84</v>
      </c>
      <c r="H122" s="13">
        <v>341.84</v>
      </c>
      <c r="I122" s="15">
        <f>IF($A122="","",IFERROR(MIN($H122/$G122,1),0))</f>
        <v>1</v>
      </c>
    </row>
    <row r="123" spans="1:11" ht="18" customHeight="1" x14ac:dyDescent="0.3">
      <c r="A123" s="19">
        <v>48275595901</v>
      </c>
      <c r="B123" s="12" t="s">
        <v>62</v>
      </c>
      <c r="C123" s="11" t="s">
        <v>140</v>
      </c>
      <c r="D123" s="12" t="s">
        <v>63</v>
      </c>
      <c r="E123" s="30">
        <v>46210</v>
      </c>
      <c r="F123" s="30">
        <v>46270</v>
      </c>
      <c r="G123" s="13">
        <v>341.84</v>
      </c>
      <c r="H123" s="13">
        <v>341.84</v>
      </c>
      <c r="I123" s="15">
        <f>IF($A123="","",IFERROR(MIN($H123/$G123,1),0))</f>
        <v>1</v>
      </c>
    </row>
    <row r="124" spans="1:11" ht="18" customHeight="1" x14ac:dyDescent="0.3">
      <c r="A124" s="19">
        <v>48275595901</v>
      </c>
      <c r="B124" s="12" t="s">
        <v>62</v>
      </c>
      <c r="C124" s="11" t="s">
        <v>140</v>
      </c>
      <c r="D124" s="12" t="s">
        <v>63</v>
      </c>
      <c r="E124" s="30">
        <v>46210</v>
      </c>
      <c r="F124" s="30">
        <v>46270</v>
      </c>
      <c r="G124" s="13">
        <v>341.84</v>
      </c>
      <c r="H124" s="13">
        <v>341.84</v>
      </c>
      <c r="I124" s="15">
        <f>IF($A124="","",IFERROR(MIN($H124/$G124,1),0))</f>
        <v>1</v>
      </c>
    </row>
    <row r="125" spans="1:11" ht="18" customHeight="1" x14ac:dyDescent="0.3">
      <c r="A125" s="19">
        <v>48275595901</v>
      </c>
      <c r="B125" s="12" t="s">
        <v>62</v>
      </c>
      <c r="C125" s="11" t="s">
        <v>140</v>
      </c>
      <c r="D125" s="12" t="s">
        <v>63</v>
      </c>
      <c r="E125" s="30">
        <v>46210</v>
      </c>
      <c r="F125" s="30">
        <v>46270</v>
      </c>
      <c r="G125" s="13">
        <v>341.84</v>
      </c>
      <c r="H125" s="13">
        <v>341.84</v>
      </c>
      <c r="I125" s="15">
        <f>IF($A125="","",IFERROR(MIN($H125/$G125,1),0))</f>
        <v>1</v>
      </c>
    </row>
    <row r="126" spans="1:11" ht="18" customHeight="1" x14ac:dyDescent="0.3">
      <c r="A126" s="19">
        <v>48275595901</v>
      </c>
      <c r="B126" s="12" t="s">
        <v>62</v>
      </c>
      <c r="C126" s="11" t="s">
        <v>140</v>
      </c>
      <c r="D126" s="12" t="s">
        <v>63</v>
      </c>
      <c r="E126" s="30">
        <v>46210</v>
      </c>
      <c r="F126" s="30">
        <v>46270</v>
      </c>
      <c r="G126" s="13">
        <v>341.84</v>
      </c>
      <c r="H126" s="13">
        <v>341.84</v>
      </c>
      <c r="I126" s="15">
        <f>IF($A126="","",IFERROR(MIN($H126/$G126,1),0))</f>
        <v>1</v>
      </c>
    </row>
    <row r="127" spans="1:11" ht="18" customHeight="1" x14ac:dyDescent="0.3">
      <c r="A127" s="19">
        <v>48275595901</v>
      </c>
      <c r="B127" s="12" t="s">
        <v>62</v>
      </c>
      <c r="C127" s="11" t="s">
        <v>140</v>
      </c>
      <c r="D127" s="12" t="s">
        <v>63</v>
      </c>
      <c r="E127" s="30">
        <v>46210</v>
      </c>
      <c r="F127" s="30">
        <v>46270</v>
      </c>
      <c r="G127" s="13">
        <v>341.84</v>
      </c>
      <c r="H127" s="13">
        <v>341.84</v>
      </c>
      <c r="I127" s="15">
        <f>IF($A127="","",IFERROR(MIN($H127/$G127,1),0))</f>
        <v>1</v>
      </c>
    </row>
    <row r="128" spans="1:11" ht="18" customHeight="1" x14ac:dyDescent="0.3">
      <c r="A128" s="19">
        <v>48275595901</v>
      </c>
      <c r="B128" s="12" t="s">
        <v>62</v>
      </c>
      <c r="C128" s="11" t="s">
        <v>140</v>
      </c>
      <c r="D128" s="12" t="s">
        <v>63</v>
      </c>
      <c r="E128" s="30">
        <v>46210</v>
      </c>
      <c r="F128" s="30">
        <v>46270</v>
      </c>
      <c r="G128" s="13">
        <v>341.84</v>
      </c>
      <c r="H128" s="13">
        <v>341.84</v>
      </c>
      <c r="I128" s="15">
        <f>IF($A128="","",IFERROR(MIN($H128/$G128,1),0))</f>
        <v>1</v>
      </c>
    </row>
    <row r="129" spans="1:11" ht="18" customHeight="1" x14ac:dyDescent="0.3">
      <c r="A129" s="19">
        <v>48275595901</v>
      </c>
      <c r="B129" s="12" t="s">
        <v>62</v>
      </c>
      <c r="C129" s="11" t="s">
        <v>140</v>
      </c>
      <c r="D129" s="12" t="s">
        <v>63</v>
      </c>
      <c r="E129" s="30">
        <v>46210</v>
      </c>
      <c r="F129" s="30">
        <v>46270</v>
      </c>
      <c r="G129" s="13">
        <v>341.84</v>
      </c>
      <c r="H129" s="13">
        <v>341.84</v>
      </c>
      <c r="I129" s="15">
        <f>IF($A129="","",IFERROR(MIN($H129/$G129,1),0))</f>
        <v>1</v>
      </c>
    </row>
    <row r="130" spans="1:11" ht="18" customHeight="1" x14ac:dyDescent="0.3">
      <c r="A130" s="19">
        <v>48275595901</v>
      </c>
      <c r="B130" s="12" t="s">
        <v>62</v>
      </c>
      <c r="C130" s="11" t="s">
        <v>140</v>
      </c>
      <c r="D130" s="12" t="s">
        <v>63</v>
      </c>
      <c r="E130" s="30">
        <v>46210</v>
      </c>
      <c r="F130" s="30">
        <v>46270</v>
      </c>
      <c r="G130" s="13">
        <v>341.84</v>
      </c>
      <c r="H130" s="13">
        <v>341.84</v>
      </c>
      <c r="I130" s="15">
        <f>IF($A130="","",IFERROR(MIN($H130/$G130,1),0))</f>
        <v>1</v>
      </c>
    </row>
    <row r="131" spans="1:11" ht="18" customHeight="1" x14ac:dyDescent="0.3">
      <c r="A131" s="19">
        <v>48275595901</v>
      </c>
      <c r="B131" s="12" t="s">
        <v>62</v>
      </c>
      <c r="C131" s="11" t="s">
        <v>140</v>
      </c>
      <c r="D131" s="12" t="s">
        <v>63</v>
      </c>
      <c r="E131" s="30">
        <v>46210</v>
      </c>
      <c r="F131" s="30">
        <v>46270</v>
      </c>
      <c r="G131" s="13">
        <v>341.84</v>
      </c>
      <c r="H131" s="13">
        <v>341.84</v>
      </c>
      <c r="I131" s="15">
        <f>IF($A131="","",IFERROR(MIN($H131/$G131,1),0))</f>
        <v>1</v>
      </c>
    </row>
    <row r="132" spans="1:11" ht="18" customHeight="1" x14ac:dyDescent="0.3">
      <c r="A132" s="19">
        <v>48275595901</v>
      </c>
      <c r="B132" s="12" t="s">
        <v>62</v>
      </c>
      <c r="C132" s="11" t="s">
        <v>140</v>
      </c>
      <c r="D132" s="12" t="s">
        <v>63</v>
      </c>
      <c r="E132" s="30">
        <v>46210</v>
      </c>
      <c r="F132" s="30">
        <v>46270</v>
      </c>
      <c r="G132" s="13">
        <v>341.84</v>
      </c>
      <c r="H132" s="13">
        <v>341.84</v>
      </c>
      <c r="I132" s="15">
        <f>IF($A132="","",IFERROR(MIN($H132/$G132,1),0))</f>
        <v>1</v>
      </c>
    </row>
    <row r="133" spans="1:11" ht="18" customHeight="1" x14ac:dyDescent="0.3">
      <c r="A133" s="19">
        <v>48275595901</v>
      </c>
      <c r="B133" s="12" t="s">
        <v>62</v>
      </c>
      <c r="C133" s="11" t="s">
        <v>140</v>
      </c>
      <c r="D133" s="12" t="s">
        <v>63</v>
      </c>
      <c r="E133" s="30">
        <v>46210</v>
      </c>
      <c r="F133" s="30">
        <v>46270</v>
      </c>
      <c r="G133" s="13">
        <v>341.84</v>
      </c>
      <c r="H133" s="13">
        <v>341.84</v>
      </c>
      <c r="I133" s="15">
        <f>IF($A133="","",IFERROR(MIN($H133/$G133,1),0))</f>
        <v>1</v>
      </c>
    </row>
    <row r="134" spans="1:11" ht="18" customHeight="1" x14ac:dyDescent="0.3">
      <c r="A134" s="19">
        <v>48275595901</v>
      </c>
      <c r="B134" s="12" t="s">
        <v>62</v>
      </c>
      <c r="C134" s="11" t="s">
        <v>140</v>
      </c>
      <c r="D134" s="12" t="s">
        <v>63</v>
      </c>
      <c r="E134" s="30">
        <v>46210</v>
      </c>
      <c r="F134" s="30">
        <v>46270</v>
      </c>
      <c r="G134" s="13">
        <v>341.84</v>
      </c>
      <c r="H134" s="13">
        <v>341.84</v>
      </c>
      <c r="I134" s="15">
        <f>IF($A134="","",IFERROR(MIN($H134/$G134,1),0))</f>
        <v>1</v>
      </c>
    </row>
    <row r="135" spans="1:11" ht="18" customHeight="1" x14ac:dyDescent="0.3">
      <c r="A135" s="19">
        <v>48275595901</v>
      </c>
      <c r="B135" s="12" t="s">
        <v>62</v>
      </c>
      <c r="C135" s="11" t="s">
        <v>140</v>
      </c>
      <c r="D135" s="12" t="s">
        <v>63</v>
      </c>
      <c r="E135" s="30">
        <v>46210</v>
      </c>
      <c r="F135" s="30">
        <v>46270</v>
      </c>
      <c r="G135" s="13">
        <v>341.84</v>
      </c>
      <c r="H135" s="13">
        <v>341.84</v>
      </c>
      <c r="I135" s="15">
        <f>IF($A135="","",IFERROR(MIN($H135/$G135,1),0))</f>
        <v>1</v>
      </c>
    </row>
    <row r="136" spans="1:11" ht="18" customHeight="1" x14ac:dyDescent="0.3">
      <c r="A136" s="19">
        <v>48275595901</v>
      </c>
      <c r="B136" s="12" t="s">
        <v>62</v>
      </c>
      <c r="C136" s="11" t="s">
        <v>140</v>
      </c>
      <c r="D136" s="12" t="s">
        <v>63</v>
      </c>
      <c r="E136" s="30">
        <v>46210</v>
      </c>
      <c r="F136" s="30">
        <v>46270</v>
      </c>
      <c r="G136" s="13">
        <v>341.84</v>
      </c>
      <c r="H136" s="13">
        <v>341.84</v>
      </c>
      <c r="I136" s="15">
        <f>IF($A136="","",IFERROR(MIN($H136/$G136,1),0))</f>
        <v>1</v>
      </c>
    </row>
    <row r="137" spans="1:11" ht="18" customHeight="1" x14ac:dyDescent="0.3">
      <c r="A137" s="19">
        <v>48275595901</v>
      </c>
      <c r="B137" s="12" t="s">
        <v>62</v>
      </c>
      <c r="C137" s="11" t="s">
        <v>140</v>
      </c>
      <c r="D137" s="12" t="s">
        <v>63</v>
      </c>
      <c r="E137" s="30">
        <v>46210</v>
      </c>
      <c r="F137" s="30">
        <v>46270</v>
      </c>
      <c r="G137" s="13">
        <v>341.84</v>
      </c>
      <c r="H137" s="13">
        <v>341.84</v>
      </c>
      <c r="I137" s="15">
        <f>IF($A137="","",IFERROR(MIN($H137/$G137,1),0))</f>
        <v>1</v>
      </c>
    </row>
    <row r="138" spans="1:11" ht="18" customHeight="1" x14ac:dyDescent="0.3">
      <c r="A138" s="19">
        <v>48275595901</v>
      </c>
      <c r="B138" s="12" t="s">
        <v>62</v>
      </c>
      <c r="C138" s="11" t="s">
        <v>140</v>
      </c>
      <c r="D138" s="12" t="s">
        <v>63</v>
      </c>
      <c r="E138" s="30">
        <v>46210</v>
      </c>
      <c r="F138" s="30">
        <v>46270</v>
      </c>
      <c r="G138" s="13">
        <v>341.84</v>
      </c>
      <c r="H138" s="13">
        <v>341.84</v>
      </c>
      <c r="I138" s="15">
        <f>IF($A138="","",IFERROR(MIN($H138/$G138,1),0))</f>
        <v>1</v>
      </c>
    </row>
    <row r="139" spans="1:11" ht="18" customHeight="1" x14ac:dyDescent="0.3">
      <c r="A139" s="19">
        <v>48275595901</v>
      </c>
      <c r="B139" s="12" t="s">
        <v>62</v>
      </c>
      <c r="C139" s="11" t="s">
        <v>140</v>
      </c>
      <c r="D139" s="12" t="s">
        <v>63</v>
      </c>
      <c r="E139" s="30">
        <v>46210</v>
      </c>
      <c r="F139" s="30">
        <v>46270</v>
      </c>
      <c r="G139" s="13">
        <v>341.84</v>
      </c>
      <c r="H139" s="13">
        <v>341.84</v>
      </c>
      <c r="I139" s="15">
        <f>IF($A139="","",IFERROR(MIN($H139/$G139,1),0))</f>
        <v>1</v>
      </c>
    </row>
    <row r="140" spans="1:11" ht="18" customHeight="1" x14ac:dyDescent="0.3">
      <c r="A140" s="19">
        <v>48275595901</v>
      </c>
      <c r="B140" s="12" t="s">
        <v>62</v>
      </c>
      <c r="C140" s="11" t="s">
        <v>140</v>
      </c>
      <c r="D140" s="12" t="s">
        <v>63</v>
      </c>
      <c r="E140" s="30">
        <v>46210</v>
      </c>
      <c r="F140" s="30">
        <v>46270</v>
      </c>
      <c r="G140" s="13">
        <v>341.84</v>
      </c>
      <c r="H140" s="13">
        <v>341.84</v>
      </c>
      <c r="I140" s="15">
        <f>IF($A140="","",IFERROR(MIN($H140/$G140,1),0))</f>
        <v>1</v>
      </c>
    </row>
    <row r="141" spans="1:11" ht="18" customHeight="1" x14ac:dyDescent="0.3">
      <c r="A141" s="19">
        <v>48275595901</v>
      </c>
      <c r="B141" s="12" t="s">
        <v>62</v>
      </c>
      <c r="C141" s="11" t="s">
        <v>140</v>
      </c>
      <c r="D141" s="12" t="s">
        <v>63</v>
      </c>
      <c r="E141" s="30">
        <v>46210</v>
      </c>
      <c r="F141" s="30">
        <v>46270</v>
      </c>
      <c r="G141" s="13">
        <v>341.84</v>
      </c>
      <c r="H141" s="13">
        <v>341.84</v>
      </c>
      <c r="I141" s="15">
        <f>IF($A141="","",IFERROR(MIN($H141/$G141,1),0))</f>
        <v>1</v>
      </c>
    </row>
    <row r="142" spans="1:11" ht="18" customHeight="1" x14ac:dyDescent="0.3">
      <c r="A142" s="19">
        <v>48275595901</v>
      </c>
      <c r="B142" s="12" t="s">
        <v>62</v>
      </c>
      <c r="C142" s="11" t="s">
        <v>140</v>
      </c>
      <c r="D142" s="12" t="s">
        <v>63</v>
      </c>
      <c r="E142" s="30">
        <v>46210</v>
      </c>
      <c r="F142" s="30">
        <v>46270</v>
      </c>
      <c r="G142" s="13">
        <v>341.84</v>
      </c>
      <c r="H142" s="13">
        <v>341.84</v>
      </c>
      <c r="I142" s="15">
        <f>IF($A142="","",IFERROR(MIN($H142/$G142,1),0))</f>
        <v>1</v>
      </c>
    </row>
    <row r="143" spans="1:11" ht="18" customHeight="1" x14ac:dyDescent="0.3">
      <c r="A143" s="19">
        <v>48275595901</v>
      </c>
      <c r="B143" s="12" t="s">
        <v>62</v>
      </c>
      <c r="C143" s="11" t="s">
        <v>140</v>
      </c>
      <c r="D143" s="12" t="s">
        <v>63</v>
      </c>
      <c r="E143" s="30">
        <v>46210</v>
      </c>
      <c r="F143" s="30">
        <v>46270</v>
      </c>
      <c r="G143" s="13">
        <v>341.84</v>
      </c>
      <c r="H143" s="13">
        <v>341.84</v>
      </c>
      <c r="I143" s="15">
        <f>IF($A143="","",IFERROR(MIN($H143/$G143,1),0))</f>
        <v>1</v>
      </c>
    </row>
    <row r="144" spans="1:11" ht="18" customHeight="1" x14ac:dyDescent="0.3">
      <c r="A144" s="19">
        <v>48275595901</v>
      </c>
      <c r="B144" s="12" t="s">
        <v>62</v>
      </c>
      <c r="C144" s="11" t="s">
        <v>140</v>
      </c>
      <c r="D144" s="12" t="s">
        <v>63</v>
      </c>
      <c r="E144" s="30">
        <v>46210</v>
      </c>
      <c r="F144" s="30">
        <v>46270</v>
      </c>
      <c r="G144" s="13">
        <v>341.84</v>
      </c>
      <c r="H144" s="13">
        <v>341.84</v>
      </c>
      <c r="I144" s="15">
        <f>IF($A144="","",IFERROR(MIN($H144/$G144,1),0))</f>
        <v>1</v>
      </c>
    </row>
    <row r="145" spans="1:11" ht="18" customHeight="1" x14ac:dyDescent="0.3">
      <c r="A145" s="19">
        <v>48275595901</v>
      </c>
      <c r="B145" s="12" t="s">
        <v>62</v>
      </c>
      <c r="C145" s="11" t="s">
        <v>140</v>
      </c>
      <c r="D145" s="12" t="s">
        <v>63</v>
      </c>
      <c r="E145" s="30">
        <v>46210</v>
      </c>
      <c r="F145" s="30">
        <v>46270</v>
      </c>
      <c r="G145" s="13">
        <v>341.84</v>
      </c>
      <c r="H145" s="13">
        <v>341.84</v>
      </c>
      <c r="I145" s="15">
        <f>IF($A145="","",IFERROR(MIN($H145/$G145,1),0))</f>
        <v>1</v>
      </c>
    </row>
    <row r="146" spans="1:11" ht="18" customHeight="1" x14ac:dyDescent="0.3">
      <c r="A146" s="19">
        <v>48275595901</v>
      </c>
      <c r="B146" s="12" t="s">
        <v>62</v>
      </c>
      <c r="C146" s="11" t="s">
        <v>140</v>
      </c>
      <c r="D146" s="12" t="s">
        <v>63</v>
      </c>
      <c r="E146" s="30">
        <v>46210</v>
      </c>
      <c r="F146" s="30">
        <v>46270</v>
      </c>
      <c r="G146" s="13">
        <v>341.84</v>
      </c>
      <c r="H146" s="13">
        <v>341.84</v>
      </c>
      <c r="I146" s="15">
        <f>IF($A146="","",IFERROR(MIN($H146/$G146,1),0))</f>
        <v>1</v>
      </c>
    </row>
    <row r="147" spans="1:11" ht="18" customHeight="1" x14ac:dyDescent="0.3">
      <c r="A147" s="19">
        <v>48275595901</v>
      </c>
      <c r="B147" s="12" t="s">
        <v>62</v>
      </c>
      <c r="C147" s="11" t="s">
        <v>140</v>
      </c>
      <c r="D147" s="12" t="s">
        <v>63</v>
      </c>
      <c r="E147" s="30">
        <v>46210</v>
      </c>
      <c r="F147" s="30">
        <v>46270</v>
      </c>
      <c r="G147" s="13">
        <v>341.84</v>
      </c>
      <c r="H147" s="13">
        <v>341.84</v>
      </c>
      <c r="I147" s="15">
        <f>IF($A147="","",IFERROR(MIN($H147/$G147,1),0))</f>
        <v>1</v>
      </c>
    </row>
    <row r="148" spans="1:11" ht="18" customHeight="1" x14ac:dyDescent="0.3">
      <c r="A148" s="19">
        <v>48275595901</v>
      </c>
      <c r="B148" s="12" t="s">
        <v>62</v>
      </c>
      <c r="C148" s="11" t="s">
        <v>140</v>
      </c>
      <c r="D148" s="12" t="s">
        <v>63</v>
      </c>
      <c r="E148" s="30">
        <v>46210</v>
      </c>
      <c r="F148" s="30">
        <v>46270</v>
      </c>
      <c r="G148" s="13">
        <v>341.84</v>
      </c>
      <c r="H148" s="13">
        <v>341.84</v>
      </c>
      <c r="I148" s="15">
        <f>IF($A148="","",IFERROR(MIN($H148/$G148,1),0))</f>
        <v>1</v>
      </c>
    </row>
    <row r="149" spans="1:11" ht="18" customHeight="1" x14ac:dyDescent="0.3">
      <c r="A149" s="19">
        <v>48275595901</v>
      </c>
      <c r="B149" s="12" t="s">
        <v>62</v>
      </c>
      <c r="C149" s="11" t="s">
        <v>140</v>
      </c>
      <c r="D149" s="12" t="s">
        <v>63</v>
      </c>
      <c r="E149" s="30">
        <v>46210</v>
      </c>
      <c r="F149" s="30">
        <v>46270</v>
      </c>
      <c r="G149" s="13">
        <v>341.84</v>
      </c>
      <c r="H149" s="13">
        <v>341.84</v>
      </c>
      <c r="I149" s="15">
        <f>IF($A149="","",IFERROR(MIN($H149/$G149,1),0))</f>
        <v>1</v>
      </c>
    </row>
    <row r="150" spans="1:11" ht="18" customHeight="1" x14ac:dyDescent="0.3">
      <c r="A150" s="19">
        <v>48275595901</v>
      </c>
      <c r="B150" s="12" t="s">
        <v>62</v>
      </c>
      <c r="C150" s="11" t="s">
        <v>140</v>
      </c>
      <c r="D150" s="12" t="s">
        <v>63</v>
      </c>
      <c r="E150" s="30">
        <v>46210</v>
      </c>
      <c r="F150" s="30">
        <v>46270</v>
      </c>
      <c r="G150" s="13">
        <v>341.84</v>
      </c>
      <c r="H150" s="13">
        <v>341.84</v>
      </c>
      <c r="I150" s="15">
        <f>IF($A150="","",IFERROR(MIN($H150/$G150,1),0))</f>
        <v>1</v>
      </c>
    </row>
    <row r="151" spans="1:11" ht="18" customHeight="1" x14ac:dyDescent="0.3">
      <c r="A151" s="19">
        <v>48275595901</v>
      </c>
      <c r="B151" s="12" t="s">
        <v>62</v>
      </c>
      <c r="C151" s="11" t="s">
        <v>140</v>
      </c>
      <c r="D151" s="12" t="s">
        <v>63</v>
      </c>
      <c r="E151" s="30">
        <v>46210</v>
      </c>
      <c r="F151" s="30">
        <v>46270</v>
      </c>
      <c r="G151" s="13">
        <v>341.84</v>
      </c>
      <c r="H151" s="13">
        <v>341.84</v>
      </c>
      <c r="I151" s="15">
        <f>IF($A151="","",IFERROR(MIN($H151/$G151,1),0))</f>
        <v>1</v>
      </c>
    </row>
    <row r="152" spans="1:11" ht="18" customHeight="1" x14ac:dyDescent="0.3">
      <c r="A152" s="19">
        <v>48275595901</v>
      </c>
      <c r="B152" s="12" t="s">
        <v>62</v>
      </c>
      <c r="C152" s="11" t="s">
        <v>140</v>
      </c>
      <c r="D152" s="12" t="s">
        <v>63</v>
      </c>
      <c r="E152" s="30">
        <v>46210</v>
      </c>
      <c r="F152" s="30">
        <v>46270</v>
      </c>
      <c r="G152" s="13">
        <v>341.84</v>
      </c>
      <c r="H152" s="13">
        <v>341.84</v>
      </c>
      <c r="I152" s="15">
        <f>IF($A152="","",IFERROR(MIN($H152/$G152,1),0))</f>
        <v>1</v>
      </c>
    </row>
    <row r="153" spans="1:11" ht="18" customHeight="1" x14ac:dyDescent="0.3">
      <c r="A153" s="19">
        <v>48275595901</v>
      </c>
      <c r="B153" s="12" t="s">
        <v>62</v>
      </c>
      <c r="C153" s="11" t="s">
        <v>140</v>
      </c>
      <c r="D153" s="12" t="s">
        <v>63</v>
      </c>
      <c r="E153" s="30">
        <v>46210</v>
      </c>
      <c r="F153" s="30">
        <v>46270</v>
      </c>
      <c r="G153" s="13">
        <v>341.84</v>
      </c>
      <c r="H153" s="13">
        <v>341.84</v>
      </c>
      <c r="I153" s="15">
        <f>IF($A153="","",IFERROR(MIN($H153/$G153,1),0))</f>
        <v>1</v>
      </c>
    </row>
    <row r="154" spans="1:11" ht="18" customHeight="1" x14ac:dyDescent="0.3">
      <c r="A154" s="19">
        <v>48275595901</v>
      </c>
      <c r="B154" s="12" t="s">
        <v>62</v>
      </c>
      <c r="C154" s="11" t="s">
        <v>140</v>
      </c>
      <c r="D154" s="12" t="s">
        <v>63</v>
      </c>
      <c r="E154" s="30">
        <v>46210</v>
      </c>
      <c r="F154" s="30">
        <v>46270</v>
      </c>
      <c r="G154" s="13">
        <v>341.84</v>
      </c>
      <c r="H154" s="13">
        <v>341.84</v>
      </c>
      <c r="I154" s="15">
        <f>IF($A154="","",IFERROR(MIN($H154/$G154,1),0))</f>
        <v>1</v>
      </c>
    </row>
    <row r="155" spans="1:11" ht="18" customHeight="1" x14ac:dyDescent="0.3">
      <c r="A155" s="19">
        <v>48275595901</v>
      </c>
      <c r="B155" s="12" t="s">
        <v>62</v>
      </c>
      <c r="C155" s="11" t="s">
        <v>140</v>
      </c>
      <c r="D155" s="12" t="s">
        <v>63</v>
      </c>
      <c r="E155" s="30">
        <v>46210</v>
      </c>
      <c r="F155" s="30">
        <v>46270</v>
      </c>
      <c r="G155" s="13">
        <v>341.84</v>
      </c>
      <c r="H155" s="13">
        <v>341.84</v>
      </c>
      <c r="I155" s="15">
        <f>IF($A155="","",IFERROR(MIN($H155/$G155,1),0))</f>
        <v>1</v>
      </c>
    </row>
    <row r="156" spans="1:11" ht="18" customHeight="1" x14ac:dyDescent="0.3">
      <c r="A156" s="19">
        <v>48275595901</v>
      </c>
      <c r="B156" s="12" t="s">
        <v>62</v>
      </c>
      <c r="C156" s="11" t="s">
        <v>140</v>
      </c>
      <c r="D156" s="12" t="s">
        <v>63</v>
      </c>
      <c r="E156" s="30">
        <v>46210</v>
      </c>
      <c r="F156" s="30">
        <v>46270</v>
      </c>
      <c r="G156" s="13">
        <v>341.84</v>
      </c>
      <c r="H156" s="13">
        <v>341.84</v>
      </c>
      <c r="I156" s="15">
        <f>IF($A156="","",IFERROR(MIN($H156/$G156,1),0))</f>
        <v>1</v>
      </c>
    </row>
    <row r="157" spans="1:11" ht="18" customHeight="1" x14ac:dyDescent="0.3">
      <c r="A157" s="19">
        <v>48275595901</v>
      </c>
      <c r="B157" s="12" t="s">
        <v>62</v>
      </c>
      <c r="C157" s="11" t="s">
        <v>140</v>
      </c>
      <c r="D157" s="12" t="s">
        <v>63</v>
      </c>
      <c r="E157" s="30">
        <v>46210</v>
      </c>
      <c r="F157" s="30">
        <v>46270</v>
      </c>
      <c r="G157" s="13">
        <v>341.84</v>
      </c>
      <c r="H157" s="13">
        <v>341.84</v>
      </c>
      <c r="I157" s="15">
        <f>IF($A157="","",IFERROR(MIN($H157/$G157,1),0))</f>
        <v>1</v>
      </c>
    </row>
    <row r="158" spans="1:9" ht="15" customHeight="1" x14ac:dyDescent="0.3">
      <c r="A158" s="64" t="s">
        <v>64</v>
      </c>
      <c r="B158" s="65"/>
      <c r="C158" s="65"/>
      <c r="D158" s="65"/>
      <c r="E158" s="65"/>
      <c r="F158" s="66"/>
      <c r="G158" s="20">
        <f>SUM($G$78:$G$109)</f>
        <v>702.25999999999988</v>
      </c>
      <c r="H158" s="20">
        <v>636</v>
      </c>
      <c r="I158" s="34">
        <f>IFERROR($H158/$G158,0)</f>
        <v>0.90564748098994685</v>
      </c>
    </row>
    <row r="159" spans="1:9" ht="21.75" customHeight="1" x14ac:dyDescent="0.3">
      <c r="A159" s="68" t="s">
        <v>65</v>
      </c>
      <c r="B159" s="68"/>
      <c r="C159" s="68"/>
      <c r="D159" s="68"/>
      <c r="E159" s="68"/>
      <c r="F159" s="68"/>
      <c r="G159" s="68"/>
      <c r="H159" s="68"/>
      <c r="I159" s="68"/>
    </row>
    <row r="160" spans="1:9" ht="27.75" customHeight="1" x14ac:dyDescent="0.3">
      <c r="A160" s="35" t="s">
        <v>66</v>
      </c>
      <c r="B160" s="35" t="s">
        <v>67</v>
      </c>
      <c r="C160" s="35" t="s">
        <v>68</v>
      </c>
      <c r="D160" s="63" t="s">
        <v>69</v>
      </c>
      <c r="E160" s="63"/>
      <c r="F160" s="35" t="s">
        <v>70</v>
      </c>
      <c r="G160" s="35" t="s">
        <v>71</v>
      </c>
      <c r="H160" s="35" t="s">
        <v>72</v>
      </c>
      <c r="I160" s="35" t="s">
        <v>34</v>
      </c>
    </row>
    <row r="161" spans="1:9" ht="19.5" customHeight="1" x14ac:dyDescent="0.3">
      <c r="A161" s="11" t="s">
        <v>73</v>
      </c>
      <c r="B161" s="36" t="s">
        <v>74</v>
      </c>
      <c r="C161" s="36" t="s">
        <v>75</v>
      </c>
      <c r="D161" s="80" t="s">
        <v>148</v>
      </c>
      <c r="E161" s="74"/>
      <c r="F161" s="36" t="s">
        <v>149</v>
      </c>
      <c r="G161" s="37">
        <v>46250</v>
      </c>
      <c r="H161" s="38">
        <f>IF($A161="","",IF($I161="تم الحل","مغلق",IF($G161="","",$G$3-$G161)))</f>
        <v>29</v>
      </c>
      <c r="I161" s="4" t="s">
        <v>76</v>
      </c>
    </row>
    <row r="162" spans="1:9" ht="19.5" customHeight="1" x14ac:dyDescent="0.3">
      <c r="A162" s="25" t="s">
        <v>77</v>
      </c>
      <c r="B162" s="19" t="s">
        <v>78</v>
      </c>
      <c r="C162" s="19" t="s">
        <v>75</v>
      </c>
      <c r="D162" s="56" t="s">
        <v>163</v>
      </c>
      <c r="E162" s="57"/>
      <c r="F162" s="19" t="s">
        <v>79</v>
      </c>
      <c r="G162" s="32" t="s">
        <v>164</v>
      </c>
      <c r="H162" s="38" t="str">
        <f t="shared" ref="H162:H181" si="8">IF($A162="","",IF($I162="تم الحل","مغلق",IF($G162="","",$G$3-$G162)))</f>
        <v>مغلق</v>
      </c>
      <c r="I162" s="39" t="s">
        <v>120</v>
      </c>
    </row>
    <row r="163" spans="1:9" ht="19.5" customHeight="1" x14ac:dyDescent="0.3">
      <c r="A163" s="18" t="s">
        <v>162</v>
      </c>
      <c r="B163" s="19" t="s">
        <v>103</v>
      </c>
      <c r="C163" s="19" t="s">
        <v>82</v>
      </c>
      <c r="D163" s="56" t="s">
        <v>166</v>
      </c>
      <c r="E163" s="57"/>
      <c r="F163" s="31" t="s">
        <v>165</v>
      </c>
      <c r="G163" s="33">
        <v>46244</v>
      </c>
      <c r="H163" s="38" t="str">
        <f t="shared" si="8"/>
        <v>مغلق</v>
      </c>
      <c r="I163" s="40" t="s">
        <v>120</v>
      </c>
    </row>
    <row r="164" spans="1:9" ht="19.5" customHeight="1" x14ac:dyDescent="0.3">
      <c r="A164" s="11" t="s">
        <v>171</v>
      </c>
      <c r="B164" s="12" t="s">
        <v>78</v>
      </c>
      <c r="C164" s="12" t="s">
        <v>75</v>
      </c>
      <c r="D164" s="56" t="s">
        <v>163</v>
      </c>
      <c r="E164" s="57"/>
      <c r="F164" s="19" t="s">
        <v>79</v>
      </c>
      <c r="G164" s="32" t="s">
        <v>164</v>
      </c>
      <c r="H164" s="41" t="str">
        <f t="shared" si="8"/>
        <v>مغلق</v>
      </c>
      <c r="I164" s="4" t="s">
        <v>120</v>
      </c>
    </row>
    <row r="165" spans="1:9" ht="19.5" customHeight="1" x14ac:dyDescent="0.3">
      <c r="A165" s="11" t="s">
        <v>73</v>
      </c>
      <c r="B165" s="36" t="s">
        <v>74</v>
      </c>
      <c r="C165" s="36" t="s">
        <v>75</v>
      </c>
      <c r="D165" s="80" t="s">
        <v>148</v>
      </c>
      <c r="E165" s="74"/>
      <c r="F165" s="36" t="s">
        <v>149</v>
      </c>
      <c r="G165" s="37">
        <v>46250</v>
      </c>
      <c r="H165" s="38">
        <f>IF($A165="","",IF($I165="تم الحل","مغلق",IF($G165="","",$G$3-$G165)))</f>
        <v>29</v>
      </c>
      <c r="I165" s="4" t="s">
        <v>76</v>
      </c>
    </row>
    <row r="166" spans="1:9" ht="19.5" customHeight="1" x14ac:dyDescent="0.3">
      <c r="A166" s="11" t="s">
        <v>73</v>
      </c>
      <c r="B166" s="36" t="s">
        <v>74</v>
      </c>
      <c r="C166" s="36" t="s">
        <v>75</v>
      </c>
      <c r="D166" s="80" t="s">
        <v>148</v>
      </c>
      <c r="E166" s="74"/>
      <c r="F166" s="36" t="s">
        <v>149</v>
      </c>
      <c r="G166" s="37">
        <v>46250</v>
      </c>
      <c r="H166" s="38">
        <f>IF($A166="","",IF($I166="تم الحل","مغلق",IF($G166="","",$G$3-$G166)))</f>
        <v>29</v>
      </c>
      <c r="I166" s="4" t="s">
        <v>76</v>
      </c>
    </row>
    <row r="167" spans="1:9" ht="19.5" customHeight="1" x14ac:dyDescent="0.3">
      <c r="A167" s="11" t="s">
        <v>73</v>
      </c>
      <c r="B167" s="36" t="s">
        <v>74</v>
      </c>
      <c r="C167" s="36" t="s">
        <v>75</v>
      </c>
      <c r="D167" s="80" t="s">
        <v>148</v>
      </c>
      <c r="E167" s="74"/>
      <c r="F167" s="36" t="s">
        <v>149</v>
      </c>
      <c r="G167" s="37">
        <v>46250</v>
      </c>
      <c r="H167" s="38">
        <f>IF($A167="","",IF($I167="تم الحل","مغلق",IF($G167="","",$G$3-$G167)))</f>
        <v>29</v>
      </c>
      <c r="I167" s="4" t="s">
        <v>76</v>
      </c>
    </row>
    <row r="168" spans="1:9" ht="19.5" customHeight="1" x14ac:dyDescent="0.3">
      <c r="A168" s="11" t="s">
        <v>73</v>
      </c>
      <c r="B168" s="36" t="s">
        <v>74</v>
      </c>
      <c r="C168" s="36" t="s">
        <v>75</v>
      </c>
      <c r="D168" s="80" t="s">
        <v>148</v>
      </c>
      <c r="E168" s="74"/>
      <c r="F168" s="36" t="s">
        <v>149</v>
      </c>
      <c r="G168" s="37">
        <v>46250</v>
      </c>
      <c r="H168" s="38">
        <f>IF($A168="","",IF($I168="تم الحل","مغلق",IF($G168="","",$G$3-$G168)))</f>
        <v>29</v>
      </c>
      <c r="I168" s="4" t="s">
        <v>76</v>
      </c>
    </row>
    <row r="169" spans="1:9" ht="19.5" customHeight="1" x14ac:dyDescent="0.3">
      <c r="A169" s="11" t="s">
        <v>73</v>
      </c>
      <c r="B169" s="36" t="s">
        <v>74</v>
      </c>
      <c r="C169" s="36" t="s">
        <v>75</v>
      </c>
      <c r="D169" s="80" t="s">
        <v>148</v>
      </c>
      <c r="E169" s="74"/>
      <c r="F169" s="36" t="s">
        <v>149</v>
      </c>
      <c r="G169" s="37">
        <v>46250</v>
      </c>
      <c r="H169" s="38">
        <f>IF($A169="","",IF($I169="تم الحل","مغلق",IF($G169="","",$G$3-$G169)))</f>
        <v>29</v>
      </c>
      <c r="I169" s="4" t="s">
        <v>76</v>
      </c>
    </row>
    <row r="170" spans="1:9" ht="19.5" customHeight="1" x14ac:dyDescent="0.3">
      <c r="A170" s="11" t="s">
        <v>73</v>
      </c>
      <c r="B170" s="36" t="s">
        <v>74</v>
      </c>
      <c r="C170" s="36" t="s">
        <v>75</v>
      </c>
      <c r="D170" s="80" t="s">
        <v>148</v>
      </c>
      <c r="E170" s="74"/>
      <c r="F170" s="36" t="s">
        <v>149</v>
      </c>
      <c r="G170" s="37">
        <v>46250</v>
      </c>
      <c r="H170" s="38">
        <f>IF($A170="","",IF($I170="تم الحل","مغلق",IF($G170="","",$G$3-$G170)))</f>
        <v>29</v>
      </c>
      <c r="I170" s="4" t="s">
        <v>76</v>
      </c>
    </row>
    <row r="171" spans="1:9" ht="19.5" customHeight="1" x14ac:dyDescent="0.3">
      <c r="A171" s="11" t="s">
        <v>73</v>
      </c>
      <c r="B171" s="36" t="s">
        <v>74</v>
      </c>
      <c r="C171" s="36" t="s">
        <v>75</v>
      </c>
      <c r="D171" s="80" t="s">
        <v>148</v>
      </c>
      <c r="E171" s="74"/>
      <c r="F171" s="36" t="s">
        <v>149</v>
      </c>
      <c r="G171" s="37">
        <v>46250</v>
      </c>
      <c r="H171" s="38">
        <f>IF($A171="","",IF($I171="تم الحل","مغلق",IF($G171="","",$G$3-$G171)))</f>
        <v>29</v>
      </c>
      <c r="I171" s="4" t="s">
        <v>76</v>
      </c>
    </row>
    <row r="172" spans="1:9" ht="19.5" customHeight="1" x14ac:dyDescent="0.3">
      <c r="A172" s="11" t="s">
        <v>73</v>
      </c>
      <c r="B172" s="36" t="s">
        <v>74</v>
      </c>
      <c r="C172" s="36" t="s">
        <v>75</v>
      </c>
      <c r="D172" s="80" t="s">
        <v>148</v>
      </c>
      <c r="E172" s="74"/>
      <c r="F172" s="36" t="s">
        <v>149</v>
      </c>
      <c r="G172" s="37">
        <v>46250</v>
      </c>
      <c r="H172" s="38">
        <f>IF($A172="","",IF($I172="تم الحل","مغلق",IF($G172="","",$G$3-$G172)))</f>
        <v>29</v>
      </c>
      <c r="I172" s="4" t="s">
        <v>76</v>
      </c>
    </row>
    <row r="173" spans="1:9" ht="19.5" customHeight="1" x14ac:dyDescent="0.3">
      <c r="A173" s="11" t="s">
        <v>73</v>
      </c>
      <c r="B173" s="36" t="s">
        <v>74</v>
      </c>
      <c r="C173" s="36" t="s">
        <v>75</v>
      </c>
      <c r="D173" s="80" t="s">
        <v>148</v>
      </c>
      <c r="E173" s="74"/>
      <c r="F173" s="36" t="s">
        <v>149</v>
      </c>
      <c r="G173" s="37">
        <v>46250</v>
      </c>
      <c r="H173" s="38">
        <f>IF($A173="","",IF($I173="تم الحل","مغلق",IF($G173="","",$G$3-$G173)))</f>
        <v>29</v>
      </c>
      <c r="I173" s="4" t="s">
        <v>76</v>
      </c>
    </row>
    <row r="174" spans="1:9" ht="19.5" customHeight="1" x14ac:dyDescent="0.3">
      <c r="A174" s="11" t="s">
        <v>73</v>
      </c>
      <c r="B174" s="36" t="s">
        <v>74</v>
      </c>
      <c r="C174" s="36" t="s">
        <v>75</v>
      </c>
      <c r="D174" s="80" t="s">
        <v>148</v>
      </c>
      <c r="E174" s="74"/>
      <c r="F174" s="36" t="s">
        <v>149</v>
      </c>
      <c r="G174" s="37">
        <v>46250</v>
      </c>
      <c r="H174" s="38">
        <f>IF($A174="","",IF($I174="تم الحل","مغلق",IF($G174="","",$G$3-$G174)))</f>
        <v>29</v>
      </c>
      <c r="I174" s="4" t="s">
        <v>76</v>
      </c>
    </row>
    <row r="175" spans="1:9" ht="19.5" customHeight="1" x14ac:dyDescent="0.3">
      <c r="A175" s="11" t="s">
        <v>73</v>
      </c>
      <c r="B175" s="36" t="s">
        <v>74</v>
      </c>
      <c r="C175" s="36" t="s">
        <v>75</v>
      </c>
      <c r="D175" s="80" t="s">
        <v>148</v>
      </c>
      <c r="E175" s="74"/>
      <c r="F175" s="36" t="s">
        <v>149</v>
      </c>
      <c r="G175" s="37">
        <v>46250</v>
      </c>
      <c r="H175" s="38">
        <f>IF($A175="","",IF($I175="تم الحل","مغلق",IF($G175="","",$G$3-$G175)))</f>
        <v>29</v>
      </c>
      <c r="I175" s="4" t="s">
        <v>76</v>
      </c>
    </row>
    <row r="176" spans="1:9" ht="19.5" customHeight="1" x14ac:dyDescent="0.3">
      <c r="A176" s="11" t="s">
        <v>73</v>
      </c>
      <c r="B176" s="36" t="s">
        <v>74</v>
      </c>
      <c r="C176" s="36" t="s">
        <v>75</v>
      </c>
      <c r="D176" s="80" t="s">
        <v>148</v>
      </c>
      <c r="E176" s="74"/>
      <c r="F176" s="36" t="s">
        <v>149</v>
      </c>
      <c r="G176" s="37">
        <v>46250</v>
      </c>
      <c r="H176" s="38">
        <f>IF($A176="","",IF($I176="تم الحل","مغلق",IF($G176="","",$G$3-$G176)))</f>
        <v>29</v>
      </c>
      <c r="I176" s="4" t="s">
        <v>76</v>
      </c>
    </row>
    <row r="177" spans="1:9" ht="19.5" customHeight="1" x14ac:dyDescent="0.3">
      <c r="A177" s="11" t="s">
        <v>73</v>
      </c>
      <c r="B177" s="36" t="s">
        <v>74</v>
      </c>
      <c r="C177" s="36" t="s">
        <v>75</v>
      </c>
      <c r="D177" s="80" t="s">
        <v>148</v>
      </c>
      <c r="E177" s="74"/>
      <c r="F177" s="36" t="s">
        <v>149</v>
      </c>
      <c r="G177" s="37">
        <v>46250</v>
      </c>
      <c r="H177" s="38">
        <f>IF($A177="","",IF($I177="تم الحل","مغلق",IF($G177="","",$G$3-$G177)))</f>
        <v>29</v>
      </c>
      <c r="I177" s="4" t="s">
        <v>76</v>
      </c>
    </row>
    <row r="178" spans="1:9" ht="19.5" customHeight="1" x14ac:dyDescent="0.3">
      <c r="A178" s="11" t="s">
        <v>73</v>
      </c>
      <c r="B178" s="36" t="s">
        <v>74</v>
      </c>
      <c r="C178" s="36" t="s">
        <v>75</v>
      </c>
      <c r="D178" s="80" t="s">
        <v>148</v>
      </c>
      <c r="E178" s="74"/>
      <c r="F178" s="36" t="s">
        <v>149</v>
      </c>
      <c r="G178" s="37">
        <v>46250</v>
      </c>
      <c r="H178" s="38">
        <f>IF($A178="","",IF($I178="تم الحل","مغلق",IF($G178="","",$G$3-$G178)))</f>
        <v>29</v>
      </c>
      <c r="I178" s="4" t="s">
        <v>76</v>
      </c>
    </row>
    <row r="179" spans="1:9" ht="19.5" customHeight="1" x14ac:dyDescent="0.3">
      <c r="A179" s="11" t="s">
        <v>73</v>
      </c>
      <c r="B179" s="36" t="s">
        <v>74</v>
      </c>
      <c r="C179" s="36" t="s">
        <v>75</v>
      </c>
      <c r="D179" s="80" t="s">
        <v>148</v>
      </c>
      <c r="E179" s="74"/>
      <c r="F179" s="36" t="s">
        <v>149</v>
      </c>
      <c r="G179" s="37">
        <v>46250</v>
      </c>
      <c r="H179" s="38">
        <f>IF($A179="","",IF($I179="تم الحل","مغلق",IF($G179="","",$G$3-$G179)))</f>
        <v>29</v>
      </c>
      <c r="I179" s="4" t="s">
        <v>76</v>
      </c>
    </row>
    <row r="180" spans="1:9" ht="19.5" customHeight="1" x14ac:dyDescent="0.3">
      <c r="A180" s="11" t="s">
        <v>73</v>
      </c>
      <c r="B180" s="36" t="s">
        <v>74</v>
      </c>
      <c r="C180" s="36" t="s">
        <v>75</v>
      </c>
      <c r="D180" s="80" t="s">
        <v>148</v>
      </c>
      <c r="E180" s="74"/>
      <c r="F180" s="36" t="s">
        <v>149</v>
      </c>
      <c r="G180" s="37">
        <v>46250</v>
      </c>
      <c r="H180" s="38">
        <f>IF($A180="","",IF($I180="تم الحل","مغلق",IF($G180="","",$G$3-$G180)))</f>
        <v>29</v>
      </c>
      <c r="I180" s="4" t="s">
        <v>76</v>
      </c>
    </row>
    <row r="181" spans="1:9" ht="19.5" customHeight="1" x14ac:dyDescent="0.3">
      <c r="A181" s="25"/>
      <c r="B181" s="19"/>
      <c r="C181" s="19"/>
      <c r="D181" s="57"/>
      <c r="E181" s="57"/>
      <c r="F181" s="19"/>
      <c r="G181" s="33"/>
      <c r="H181" s="38" t="str">
        <f t="shared" si="8"/>
        <v/>
      </c>
      <c r="I181" s="40"/>
    </row>
    <row r="182" spans="1:9" ht="21.75" customHeight="1" x14ac:dyDescent="0.3">
      <c r="A182" s="61" t="s">
        <v>84</v>
      </c>
      <c r="B182" s="61"/>
      <c r="C182" s="61"/>
      <c r="D182" s="61"/>
      <c r="E182" s="61"/>
      <c r="F182" s="61"/>
      <c r="G182" s="61"/>
      <c r="H182" s="61"/>
      <c r="I182" s="61"/>
    </row>
    <row r="183" spans="1:9" ht="25.5" customHeight="1" x14ac:dyDescent="0.3">
      <c r="A183" s="58" t="s">
        <v>197</v>
      </c>
      <c r="B183" s="59"/>
      <c r="C183" s="59"/>
      <c r="D183" s="59"/>
      <c r="E183" s="59"/>
      <c r="F183" s="59"/>
      <c r="G183" s="59"/>
      <c r="H183" s="59"/>
      <c r="I183" s="59"/>
    </row>
    <row r="184" spans="1:9" ht="21.75" customHeight="1" x14ac:dyDescent="0.3">
      <c r="A184" s="61" t="s">
        <v>85</v>
      </c>
      <c r="B184" s="61"/>
      <c r="C184" s="61"/>
      <c r="D184" s="61"/>
      <c r="E184" s="61"/>
      <c r="F184" s="61"/>
      <c r="G184" s="61"/>
      <c r="H184" s="61"/>
      <c r="I184" s="61"/>
    </row>
    <row r="185" spans="1:9" ht="19.5" customHeight="1" x14ac:dyDescent="0.3">
      <c r="A185" s="58" t="s">
        <v>170</v>
      </c>
      <c r="B185" s="59"/>
      <c r="C185" s="59"/>
      <c r="D185" s="59"/>
      <c r="E185" s="59"/>
      <c r="F185" s="59"/>
      <c r="G185" s="59"/>
      <c r="H185" s="59"/>
      <c r="I185" s="59"/>
    </row>
    <row r="186" spans="1:9" ht="19.5" customHeight="1" x14ac:dyDescent="0.3">
      <c r="A186" s="59"/>
      <c r="B186" s="59"/>
      <c r="C186" s="59"/>
      <c r="D186" s="59"/>
      <c r="E186" s="59"/>
      <c r="F186" s="59"/>
      <c r="G186" s="59"/>
      <c r="H186" s="59"/>
      <c r="I186" s="59"/>
    </row>
    <row r="187" spans="1:9" ht="19.5" customHeight="1" x14ac:dyDescent="0.3">
      <c r="A187" s="59"/>
      <c r="B187" s="59"/>
      <c r="C187" s="59"/>
      <c r="D187" s="59"/>
      <c r="E187" s="59"/>
      <c r="F187" s="59"/>
      <c r="G187" s="59"/>
      <c r="H187" s="59"/>
      <c r="I187" s="59"/>
    </row>
    <row r="188" spans="1:9" ht="21.75" customHeight="1" x14ac:dyDescent="0.3">
      <c r="A188" s="61" t="s">
        <v>86</v>
      </c>
      <c r="B188" s="61"/>
      <c r="C188" s="61"/>
      <c r="D188" s="61"/>
      <c r="E188" s="61"/>
      <c r="F188" s="61"/>
      <c r="G188" s="61"/>
      <c r="H188" s="61"/>
      <c r="I188" s="61"/>
    </row>
    <row r="189" spans="1:9" ht="13.5" customHeight="1" x14ac:dyDescent="0.3"/>
    <row r="190" spans="1:9" ht="13.5" customHeight="1" x14ac:dyDescent="0.3"/>
    <row r="191" spans="1:9" ht="13.5" customHeight="1" x14ac:dyDescent="0.3"/>
    <row r="192" spans="1:9" ht="13.5" customHeight="1" x14ac:dyDescent="0.3"/>
    <row r="193" spans="1:9" ht="13.5" customHeight="1" x14ac:dyDescent="0.3"/>
    <row r="194" spans="1:9" ht="13.5" customHeight="1" x14ac:dyDescent="0.3"/>
    <row r="195" spans="1:9" ht="13.5" customHeight="1" x14ac:dyDescent="0.3"/>
    <row r="196" spans="1:9" ht="13.5" customHeight="1" x14ac:dyDescent="0.3"/>
    <row r="197" spans="1:9" ht="13.5" customHeight="1" x14ac:dyDescent="0.3"/>
    <row r="198" spans="1:9" ht="13.5" customHeight="1" x14ac:dyDescent="0.3"/>
    <row r="199" spans="1:9" ht="13.5" customHeight="1" x14ac:dyDescent="0.3"/>
    <row r="200" spans="1:9" ht="13.5" customHeight="1" x14ac:dyDescent="0.3"/>
    <row r="201" spans="1:9" ht="13.5" customHeight="1" x14ac:dyDescent="0.3"/>
    <row r="202" spans="1:9" ht="25.5" customHeight="1" x14ac:dyDescent="0.3"/>
    <row r="203" spans="1:9" ht="15" customHeight="1" x14ac:dyDescent="0.3">
      <c r="A203" s="62" t="s">
        <v>87</v>
      </c>
      <c r="B203" s="62"/>
      <c r="C203" s="62"/>
      <c r="D203" s="62" t="s">
        <v>88</v>
      </c>
      <c r="E203" s="62"/>
      <c r="F203" s="62"/>
      <c r="G203" s="62" t="s">
        <v>133</v>
      </c>
      <c r="H203" s="62"/>
      <c r="I203" s="62"/>
    </row>
    <row r="204" spans="1:9" ht="33.75" customHeight="1" x14ac:dyDescent="0.3">
      <c r="A204" s="60" t="s">
        <v>185</v>
      </c>
      <c r="B204" s="60"/>
      <c r="C204" s="60"/>
      <c r="D204" s="60"/>
      <c r="E204" s="60"/>
      <c r="F204" s="60"/>
      <c r="G204" s="60"/>
      <c r="H204" s="60"/>
      <c r="I204" s="60"/>
    </row>
  </sheetData>
  <mergeCells count="48">
    <mergeCell ref="A1:I1"/>
    <mergeCell ref="A2:I2"/>
    <mergeCell ref="H36:I36"/>
    <mergeCell ref="D161:E161"/>
    <mergeCell ref="A76:I76"/>
    <mergeCell ref="H38:I38"/>
    <mergeCell ref="B10:C10"/>
    <mergeCell ref="F9:G9"/>
    <mergeCell ref="A11:I11"/>
    <mergeCell ref="H37:I37"/>
    <mergeCell ref="B9:C9"/>
    <mergeCell ref="B4:E4"/>
    <mergeCell ref="H10:I10"/>
    <mergeCell ref="A8:I8"/>
    <mergeCell ref="A33:B33"/>
    <mergeCell ref="H9:I9"/>
    <mergeCell ref="F10:G10"/>
    <mergeCell ref="B3:C3"/>
    <mergeCell ref="H7:I7"/>
    <mergeCell ref="H6:I6"/>
    <mergeCell ref="E6:F6"/>
    <mergeCell ref="B6:C6"/>
    <mergeCell ref="B5:I5"/>
    <mergeCell ref="G4:I4"/>
    <mergeCell ref="A34:I34"/>
    <mergeCell ref="D160:E160"/>
    <mergeCell ref="A158:F158"/>
    <mergeCell ref="H35:I35"/>
    <mergeCell ref="A203:C203"/>
    <mergeCell ref="D163:E163"/>
    <mergeCell ref="A187:I187"/>
    <mergeCell ref="A186:I186"/>
    <mergeCell ref="D181:E181"/>
    <mergeCell ref="A184:I184"/>
    <mergeCell ref="G203:I203"/>
    <mergeCell ref="A185:I185"/>
    <mergeCell ref="H40:I40"/>
    <mergeCell ref="A159:I159"/>
    <mergeCell ref="D162:E162"/>
    <mergeCell ref="H39:I39"/>
    <mergeCell ref="D164:E164"/>
    <mergeCell ref="A183:I183"/>
    <mergeCell ref="A204:C204"/>
    <mergeCell ref="D204:F204"/>
    <mergeCell ref="G204:I204"/>
    <mergeCell ref="A182:I182"/>
    <mergeCell ref="D203:F203"/>
    <mergeCell ref="A188:I188"/>
  </mergeCells>
  <conditionalFormatting sqref="I13:I19">
    <cfRule type="cellIs" dxfId="6" priority="5" operator="equal">
      <formula>"متأخر"</formula>
    </cfRule>
    <cfRule type="cellIs" dxfId="5" priority="6" operator="equal">
      <formula>"متقدم"</formula>
    </cfRule>
    <cfRule type="cellIs" dxfId="4" priority="7" operator="equal">
      <formula>"حسب المخطط"</formula>
    </cfRule>
    <cfRule type="cellIs" dxfId="3" priority="8" operator="equal">
      <formula>"تحت المتابعة"</formula>
    </cfRule>
  </conditionalFormatting>
  <conditionalFormatting sqref="I161:I181">
    <cfRule type="cellIs" dxfId="2" priority="9" operator="equal">
      <formula>"تم الحل"</formula>
    </cfRule>
  </conditionalFormatting>
  <conditionalFormatting sqref="F36:F40">
    <cfRule type="dataBar" priority="4">
      <dataBar>
        <cfvo type="num" val="0"/>
        <cfvo type="num" val="1"/>
        <color rgb="FF4584C4"/>
      </dataBar>
    </cfRule>
    <cfRule type="dataBar" priority="32767">
      <dataBar>
        <cfvo type="num" val="0"/>
        <cfvo type="num" val="1"/>
        <color auto="1"/>
      </dataBar>
    </cfRule>
  </conditionalFormatting>
  <conditionalFormatting sqref="E10">
    <cfRule type="cellIs" dxfId="1" priority="10" operator="equal">
      <formula>"متأخر"</formula>
    </cfRule>
    <cfRule type="cellIs" dxfId="0" priority="11" operator="equal">
      <formula>"وفق المخطط"</formula>
    </cfRule>
  </conditionalFormatting>
  <conditionalFormatting sqref="G13:G19">
    <cfRule type="dataBar" priority="3">
      <dataBar>
        <cfvo type="num" val="0"/>
        <cfvo type="num" val="1"/>
        <color rgb="FF260C7C"/>
      </dataBar>
    </cfRule>
    <cfRule type="dataBar" priority="32768">
      <dataBar>
        <cfvo type="num" val="0"/>
        <cfvo type="num" val="1"/>
        <color auto="1"/>
      </dataBar>
    </cfRule>
  </conditionalFormatting>
  <pageMargins left="0.25" right="0.25" top="0.3" bottom="0.3" header="0.511811023622047" footer="0.511811023622047"/>
  <pageSetup paperSize="9" scale="49"/>
  <headerFooter>
    <oddHeader>&amp;C&amp;K8B8112&amp;10&amp;"Calibri"Confidential External - مقيد (خارجي)</oddHeader>
  </headerFooter>
  <drawing r:id="rId1"/>
  <extLst>
    <ext xmlns:x14="http://schemas.microsoft.com/office/spreadsheetml/2009/9/main" uri="{CCE6A669-97BC-4b89-ADB6-D9C205CAAB3DF}">
      <x14:dataValidations xmlns:xm="http://schemas.microsoft.com/office/excel/2006/main" count="8">
        <x14:dataValidation type="list" allowBlank="1" xr:uid="{00000000-0002-0000-0000-000000000000}">
          <x14:formula1>
            <xm:f>القوائم!$E$2:$E$3</xm:f>
          </x14:formula1>
          <x14:formula2>
            <xm:f>0</xm:f>
          </x14:formula2>
          <xm:sqref>E3</xm:sqref>
        </x14:dataValidation>
        <x14:dataValidation type="list" allowBlank="1" xr:uid="{00000000-0002-0000-0000-000001000000}">
          <x14:formula1>
            <xm:f>القوائم!$A$2:$A$8</xm:f>
          </x14:formula1>
          <x14:formula2>
            <xm:f>0</xm:f>
          </x14:formula2>
          <xm:sqref>I13:I19</xm:sqref>
        </x14:dataValidation>
        <x14:dataValidation type="list" allowBlank="1" xr:uid="{00000000-0002-0000-0000-000002000000}">
          <x14:formula1>
            <xm:f>القوائم!$B$2:$B$8</xm:f>
          </x14:formula1>
          <x14:formula2>
            <xm:f>0</xm:f>
          </x14:formula2>
          <xm:sqref>I161:I181</xm:sqref>
        </x14:dataValidation>
        <x14:dataValidation type="list" allowBlank="1" xr:uid="{00000000-0002-0000-0000-000003000000}">
          <x14:formula1>
            <xm:f>القوائم!$H$2:$H$7</xm:f>
          </x14:formula1>
          <x14:formula2>
            <xm:f>0</xm:f>
          </x14:formula2>
          <xm:sqref>B13:B19 B36:B40</xm:sqref>
        </x14:dataValidation>
        <x14:dataValidation type="list" allowBlank="1" xr:uid="{00000000-0002-0000-0000-000005000000}">
          <x14:formula1>
            <xm:f>القوائم!$D$2:$D$5</xm:f>
          </x14:formula1>
          <x14:formula2>
            <xm:f>0</xm:f>
          </x14:formula2>
          <xm:sqref>G36:G40</xm:sqref>
        </x14:dataValidation>
        <x14:dataValidation type="list" allowBlank="1" xr:uid="{00000000-0002-0000-0000-000006000000}">
          <x14:formula1>
            <xm:f>القوائم!$F$2:$F$9</xm:f>
          </x14:formula1>
          <x14:formula2>
            <xm:f>0</xm:f>
          </x14:formula2>
          <xm:sqref>B161:B181</xm:sqref>
        </x14:dataValidation>
        <x14:dataValidation type="list" allowBlank="1" xr:uid="{00000000-0002-0000-0000-000007000000}">
          <x14:formula1>
            <xm:f>القوائم!$G$2:$G$4</xm:f>
          </x14:formula1>
          <x14:formula2>
            <xm:f>0</xm:f>
          </x14:formula2>
          <xm:sqref>C161:C181</xm:sqref>
        </x14:dataValidation>
        <x14:dataValidation type="list" allowBlank="1" xr:uid="{00000000-0002-0000-0000-000008000000}">
          <x14:formula1>
            <xm:f>القوائم!$C$2:$C$6</xm:f>
          </x14:formula1>
          <x14:formula2>
            <xm:f>0</xm:f>
          </x14:formula2>
          <xm:sqref>D78:D109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F139"/>
  <sheetViews>
    <sheetView rightToLeft="1" workbookViewId="0">
      <pane ySplit="2" topLeftCell="A27" activePane="bottomLeft" state="frozen"/>
      <selection pane="bottomLeft" activeCell="E38" sqref="E38"/>
    </sheetView>
  </sheetViews>
  <sheetFormatPr defaultRowHeight="14.4" x14ac:dyDescent="0.3"/>
  <cols>
    <col min="1" max="1" width="14" customWidth="1"/>
    <col min="2" max="4" width="16" customWidth="1"/>
    <col min="5" max="5" width="48" customWidth="1"/>
    <col min="6" max="6" width="20" customWidth="1"/>
  </cols>
  <sheetData>
    <row r="1" spans="1:6" ht="30" customHeight="1" x14ac:dyDescent="0.3">
      <c r="A1" s="82" t="s">
        <v>89</v>
      </c>
      <c r="B1" s="82"/>
      <c r="C1" s="82"/>
      <c r="D1" s="82"/>
      <c r="E1" s="82"/>
      <c r="F1" s="82"/>
    </row>
    <row r="2" spans="1:6" ht="30" customHeight="1" x14ac:dyDescent="0.3">
      <c r="A2" s="42" t="s">
        <v>90</v>
      </c>
      <c r="B2" s="42" t="s">
        <v>91</v>
      </c>
      <c r="C2" s="42" t="s">
        <v>92</v>
      </c>
      <c r="D2" s="42" t="s">
        <v>93</v>
      </c>
      <c r="E2" s="42" t="s">
        <v>94</v>
      </c>
      <c r="F2" s="42" t="s">
        <v>95</v>
      </c>
    </row>
    <row r="3" spans="1:6" x14ac:dyDescent="0.3">
      <c r="A3" s="43">
        <v>46221</v>
      </c>
      <c r="B3" s="44">
        <v>0.1</v>
      </c>
      <c r="C3" s="45">
        <v>100</v>
      </c>
      <c r="D3" s="45">
        <v>100</v>
      </c>
      <c r="E3" s="46" t="s">
        <v>173</v>
      </c>
      <c r="F3" s="47" t="s">
        <v>167</v>
      </c>
    </row>
    <row r="4" spans="1:6" x14ac:dyDescent="0.3">
      <c r="A4" s="43">
        <v>46222</v>
      </c>
      <c r="B4" s="44">
        <v>0.12</v>
      </c>
      <c r="C4" s="45">
        <v>117</v>
      </c>
      <c r="D4" s="45">
        <v>117</v>
      </c>
      <c r="E4" s="46" t="s">
        <v>172</v>
      </c>
      <c r="F4" s="47" t="s">
        <v>167</v>
      </c>
    </row>
    <row r="5" spans="1:6" x14ac:dyDescent="0.3">
      <c r="A5" s="43">
        <v>46223</v>
      </c>
      <c r="B5" s="44">
        <v>0.15</v>
      </c>
      <c r="C5" s="45">
        <v>4</v>
      </c>
      <c r="D5" s="45">
        <v>4</v>
      </c>
      <c r="E5" s="46" t="s">
        <v>174</v>
      </c>
      <c r="F5" s="47" t="s">
        <v>167</v>
      </c>
    </row>
    <row r="6" spans="1:6" x14ac:dyDescent="0.3">
      <c r="A6" s="43">
        <v>46224</v>
      </c>
      <c r="B6" s="44">
        <v>0.17</v>
      </c>
      <c r="C6" s="45">
        <v>18</v>
      </c>
      <c r="D6" s="45">
        <v>18</v>
      </c>
      <c r="E6" s="46" t="s">
        <v>175</v>
      </c>
      <c r="F6" s="47" t="s">
        <v>167</v>
      </c>
    </row>
    <row r="7" spans="1:6" x14ac:dyDescent="0.3">
      <c r="A7" s="43">
        <v>46225</v>
      </c>
      <c r="B7" s="44">
        <v>0.2</v>
      </c>
      <c r="C7" s="45">
        <v>8</v>
      </c>
      <c r="D7" s="45">
        <v>8</v>
      </c>
      <c r="E7" s="46" t="s">
        <v>176</v>
      </c>
      <c r="F7" s="47" t="s">
        <v>167</v>
      </c>
    </row>
    <row r="8" spans="1:6" x14ac:dyDescent="0.3">
      <c r="A8" s="43">
        <v>46226</v>
      </c>
      <c r="B8" s="44">
        <v>0.22</v>
      </c>
      <c r="C8" s="45">
        <v>10</v>
      </c>
      <c r="D8" s="45">
        <v>10</v>
      </c>
      <c r="E8" s="46" t="s">
        <v>180</v>
      </c>
      <c r="F8" s="47" t="s">
        <v>167</v>
      </c>
    </row>
    <row r="9" spans="1:6" x14ac:dyDescent="0.3">
      <c r="A9" s="43">
        <v>46228</v>
      </c>
      <c r="B9" s="44">
        <v>0.24</v>
      </c>
      <c r="C9" s="45">
        <v>4</v>
      </c>
      <c r="D9" s="45">
        <v>4</v>
      </c>
      <c r="E9" s="46" t="s">
        <v>177</v>
      </c>
      <c r="F9" s="47" t="s">
        <v>167</v>
      </c>
    </row>
    <row r="10" spans="1:6" x14ac:dyDescent="0.3">
      <c r="A10" s="43">
        <v>46229</v>
      </c>
      <c r="B10" s="44">
        <v>0.25</v>
      </c>
      <c r="C10" s="45">
        <v>7</v>
      </c>
      <c r="D10" s="45">
        <v>7</v>
      </c>
      <c r="E10" s="46" t="s">
        <v>175</v>
      </c>
      <c r="F10" s="47" t="s">
        <v>167</v>
      </c>
    </row>
    <row r="11" spans="1:6" x14ac:dyDescent="0.3">
      <c r="A11" s="43">
        <v>46230</v>
      </c>
      <c r="B11" s="44">
        <v>0.27</v>
      </c>
      <c r="C11" s="45">
        <v>15</v>
      </c>
      <c r="D11" s="45">
        <v>15</v>
      </c>
      <c r="E11" s="46" t="s">
        <v>178</v>
      </c>
      <c r="F11" s="47" t="s">
        <v>167</v>
      </c>
    </row>
    <row r="12" spans="1:6" x14ac:dyDescent="0.3">
      <c r="A12" s="43">
        <v>46231</v>
      </c>
      <c r="B12" s="44">
        <v>0.28999999999999998</v>
      </c>
      <c r="C12" s="45">
        <v>10</v>
      </c>
      <c r="D12" s="45">
        <v>10</v>
      </c>
      <c r="E12" s="46" t="s">
        <v>178</v>
      </c>
      <c r="F12" s="47" t="s">
        <v>167</v>
      </c>
    </row>
    <row r="13" spans="1:6" x14ac:dyDescent="0.3">
      <c r="A13" s="43">
        <v>46232</v>
      </c>
      <c r="B13" s="44">
        <v>0.31</v>
      </c>
      <c r="C13" s="45">
        <v>9</v>
      </c>
      <c r="D13" s="45">
        <v>9</v>
      </c>
      <c r="E13" s="46" t="s">
        <v>179</v>
      </c>
      <c r="F13" s="47" t="s">
        <v>167</v>
      </c>
    </row>
    <row r="14" spans="1:6" x14ac:dyDescent="0.3">
      <c r="A14" s="43">
        <v>46233</v>
      </c>
      <c r="B14" s="44">
        <v>0.35</v>
      </c>
      <c r="C14" s="45">
        <v>25</v>
      </c>
      <c r="D14" s="45">
        <v>25</v>
      </c>
      <c r="E14" s="46" t="s">
        <v>181</v>
      </c>
      <c r="F14" s="47" t="s">
        <v>167</v>
      </c>
    </row>
    <row r="15" spans="1:6" x14ac:dyDescent="0.3">
      <c r="A15" s="43">
        <v>46235</v>
      </c>
      <c r="B15" s="44">
        <v>0.37</v>
      </c>
      <c r="C15" s="45">
        <v>25</v>
      </c>
      <c r="D15" s="45">
        <v>25</v>
      </c>
      <c r="E15" s="46" t="s">
        <v>182</v>
      </c>
      <c r="F15" s="47" t="s">
        <v>167</v>
      </c>
    </row>
    <row r="16" spans="1:6" x14ac:dyDescent="0.3">
      <c r="A16" s="43">
        <v>46236</v>
      </c>
      <c r="B16" s="44">
        <v>0.39</v>
      </c>
      <c r="C16" s="45">
        <v>2</v>
      </c>
      <c r="D16" s="45">
        <v>2</v>
      </c>
      <c r="E16" s="46" t="s">
        <v>183</v>
      </c>
      <c r="F16" s="47" t="s">
        <v>167</v>
      </c>
    </row>
    <row r="17" spans="1:6" x14ac:dyDescent="0.3">
      <c r="A17" s="43">
        <v>45141</v>
      </c>
      <c r="B17" s="44">
        <v>0.41</v>
      </c>
      <c r="C17" s="45">
        <v>3</v>
      </c>
      <c r="D17" s="45">
        <v>3</v>
      </c>
      <c r="E17" s="46" t="s">
        <v>183</v>
      </c>
      <c r="F17" s="47" t="s">
        <v>167</v>
      </c>
    </row>
    <row r="18" spans="1:6" x14ac:dyDescent="0.3">
      <c r="A18" s="43">
        <v>45142</v>
      </c>
      <c r="B18" s="44">
        <v>0.44</v>
      </c>
      <c r="C18" s="45">
        <v>9</v>
      </c>
      <c r="D18" s="45">
        <v>9</v>
      </c>
      <c r="E18" s="46" t="s">
        <v>176</v>
      </c>
      <c r="F18" s="47" t="s">
        <v>167</v>
      </c>
    </row>
    <row r="19" spans="1:6" x14ac:dyDescent="0.3">
      <c r="A19" s="43">
        <v>46239</v>
      </c>
      <c r="B19" s="44">
        <v>0.47</v>
      </c>
      <c r="C19" s="45">
        <v>5</v>
      </c>
      <c r="D19" s="45">
        <v>5</v>
      </c>
      <c r="E19" s="46" t="s">
        <v>176</v>
      </c>
      <c r="F19" s="47" t="s">
        <v>167</v>
      </c>
    </row>
    <row r="20" spans="1:6" x14ac:dyDescent="0.3">
      <c r="A20" s="43">
        <v>46243</v>
      </c>
      <c r="B20" s="44">
        <v>0.49</v>
      </c>
      <c r="C20" s="45">
        <v>5</v>
      </c>
      <c r="D20" s="45">
        <v>5</v>
      </c>
      <c r="E20" s="46" t="s">
        <v>184</v>
      </c>
      <c r="F20" s="47" t="s">
        <v>167</v>
      </c>
    </row>
    <row r="21" spans="1:6" x14ac:dyDescent="0.3">
      <c r="A21" s="43">
        <v>46254</v>
      </c>
      <c r="B21" s="44">
        <v>0.52</v>
      </c>
      <c r="C21" s="45">
        <v>2</v>
      </c>
      <c r="D21" s="45">
        <v>2</v>
      </c>
      <c r="E21" s="48" t="s">
        <v>193</v>
      </c>
      <c r="F21" s="47" t="s">
        <v>167</v>
      </c>
    </row>
    <row r="22" spans="1:6" x14ac:dyDescent="0.3">
      <c r="A22" s="43">
        <v>46256</v>
      </c>
      <c r="B22" s="44">
        <v>0.55000000000000004</v>
      </c>
      <c r="C22" s="45">
        <v>1</v>
      </c>
      <c r="D22" s="45">
        <v>1</v>
      </c>
      <c r="E22" s="46" t="s">
        <v>186</v>
      </c>
      <c r="F22" s="47" t="s">
        <v>167</v>
      </c>
    </row>
    <row r="23" spans="1:6" x14ac:dyDescent="0.3">
      <c r="A23" s="43">
        <v>46258</v>
      </c>
      <c r="B23" s="44">
        <v>0.56999999999999995</v>
      </c>
      <c r="C23" s="45">
        <v>1</v>
      </c>
      <c r="D23" s="45">
        <v>1</v>
      </c>
      <c r="E23" s="46" t="s">
        <v>186</v>
      </c>
      <c r="F23" s="47" t="s">
        <v>167</v>
      </c>
    </row>
    <row r="24" spans="1:6" x14ac:dyDescent="0.3">
      <c r="A24" s="49">
        <v>46259</v>
      </c>
      <c r="B24" s="44">
        <v>0.59</v>
      </c>
      <c r="C24" s="45">
        <v>1</v>
      </c>
      <c r="D24" s="45">
        <v>1</v>
      </c>
      <c r="E24" s="46" t="s">
        <v>186</v>
      </c>
      <c r="F24" s="47" t="s">
        <v>167</v>
      </c>
    </row>
    <row r="25" spans="1:6" x14ac:dyDescent="0.3">
      <c r="A25" s="49">
        <v>46260</v>
      </c>
      <c r="B25" s="44">
        <v>0.59</v>
      </c>
      <c r="C25" s="45">
        <v>0</v>
      </c>
      <c r="D25" s="45">
        <v>0</v>
      </c>
      <c r="E25" s="48" t="s">
        <v>188</v>
      </c>
      <c r="F25" s="47" t="s">
        <v>167</v>
      </c>
    </row>
    <row r="26" spans="1:6" x14ac:dyDescent="0.3">
      <c r="A26" s="49">
        <v>46261</v>
      </c>
      <c r="B26" s="44">
        <v>0.63</v>
      </c>
      <c r="C26" s="45">
        <v>2</v>
      </c>
      <c r="D26" s="45">
        <v>2</v>
      </c>
      <c r="E26" s="48" t="s">
        <v>189</v>
      </c>
      <c r="F26" s="47" t="s">
        <v>167</v>
      </c>
    </row>
    <row r="27" spans="1:6" x14ac:dyDescent="0.3">
      <c r="A27" s="49">
        <v>46263</v>
      </c>
      <c r="B27" s="44">
        <v>0.66</v>
      </c>
      <c r="C27" s="45">
        <v>2</v>
      </c>
      <c r="D27" s="45">
        <v>2</v>
      </c>
      <c r="E27" s="46" t="s">
        <v>186</v>
      </c>
      <c r="F27" s="47" t="s">
        <v>167</v>
      </c>
    </row>
    <row r="28" spans="1:6" x14ac:dyDescent="0.3">
      <c r="A28" s="49">
        <v>46264</v>
      </c>
      <c r="B28" s="44">
        <v>0.67</v>
      </c>
      <c r="C28" s="45">
        <v>1</v>
      </c>
      <c r="D28" s="45">
        <v>1</v>
      </c>
      <c r="E28" s="46" t="s">
        <v>186</v>
      </c>
      <c r="F28" s="47" t="s">
        <v>167</v>
      </c>
    </row>
    <row r="29" spans="1:6" x14ac:dyDescent="0.3">
      <c r="A29" s="49">
        <v>46265</v>
      </c>
      <c r="B29" s="44">
        <v>0.69</v>
      </c>
      <c r="C29" s="45">
        <v>3</v>
      </c>
      <c r="D29" s="45">
        <v>3</v>
      </c>
      <c r="E29" s="46" t="s">
        <v>190</v>
      </c>
      <c r="F29" s="47" t="s">
        <v>167</v>
      </c>
    </row>
    <row r="30" spans="1:6" x14ac:dyDescent="0.3">
      <c r="A30" s="49">
        <v>46266</v>
      </c>
      <c r="B30" s="44">
        <v>0.69</v>
      </c>
      <c r="C30" s="45">
        <v>0</v>
      </c>
      <c r="D30" s="45">
        <v>0</v>
      </c>
      <c r="E30" s="46" t="s">
        <v>191</v>
      </c>
      <c r="F30" s="47" t="s">
        <v>167</v>
      </c>
    </row>
    <row r="31" spans="1:6" x14ac:dyDescent="0.3">
      <c r="A31" s="49">
        <v>46267</v>
      </c>
      <c r="B31" s="44">
        <v>0.75</v>
      </c>
      <c r="C31" s="45">
        <v>7</v>
      </c>
      <c r="D31" s="45">
        <v>7</v>
      </c>
      <c r="E31" s="48" t="s">
        <v>192</v>
      </c>
      <c r="F31" s="47" t="s">
        <v>167</v>
      </c>
    </row>
    <row r="32" spans="1:6" x14ac:dyDescent="0.3">
      <c r="A32" s="49">
        <v>46268</v>
      </c>
      <c r="B32" s="44">
        <v>0.76</v>
      </c>
      <c r="C32" s="45">
        <v>1</v>
      </c>
      <c r="D32" s="45">
        <v>1</v>
      </c>
      <c r="E32" s="46" t="s">
        <v>186</v>
      </c>
      <c r="F32" s="47" t="s">
        <v>167</v>
      </c>
    </row>
    <row r="33" spans="1:6" x14ac:dyDescent="0.3">
      <c r="A33" s="49">
        <v>46270</v>
      </c>
      <c r="B33" s="44">
        <v>0.76</v>
      </c>
      <c r="C33" s="45">
        <v>0</v>
      </c>
      <c r="D33" s="45">
        <v>0</v>
      </c>
      <c r="E33" s="48" t="s">
        <v>194</v>
      </c>
      <c r="F33" s="47" t="s">
        <v>167</v>
      </c>
    </row>
    <row r="34" spans="1:6" x14ac:dyDescent="0.3">
      <c r="A34" s="49">
        <v>46271</v>
      </c>
      <c r="B34" s="44">
        <v>0.76</v>
      </c>
      <c r="C34" s="45">
        <v>0</v>
      </c>
      <c r="D34" s="45">
        <v>0</v>
      </c>
      <c r="E34" s="48" t="s">
        <v>194</v>
      </c>
      <c r="F34" s="47" t="s">
        <v>167</v>
      </c>
    </row>
    <row r="35" spans="1:6" x14ac:dyDescent="0.3">
      <c r="A35" s="49">
        <v>46272</v>
      </c>
      <c r="B35" s="44">
        <v>0.78</v>
      </c>
      <c r="C35" s="45">
        <v>4</v>
      </c>
      <c r="D35" s="45">
        <v>4</v>
      </c>
      <c r="E35" s="48" t="s">
        <v>195</v>
      </c>
      <c r="F35" s="47" t="s">
        <v>167</v>
      </c>
    </row>
    <row r="36" spans="1:6" x14ac:dyDescent="0.3">
      <c r="A36" s="49">
        <v>46275</v>
      </c>
      <c r="B36" s="44">
        <v>0.79</v>
      </c>
      <c r="C36" s="45">
        <v>2</v>
      </c>
      <c r="D36" s="45">
        <v>2</v>
      </c>
      <c r="E36" s="46" t="s">
        <v>196</v>
      </c>
      <c r="F36" s="47" t="s">
        <v>167</v>
      </c>
    </row>
    <row r="37" spans="1:6" x14ac:dyDescent="0.3">
      <c r="A37" s="49">
        <v>46278</v>
      </c>
      <c r="B37" s="44">
        <v>0.83</v>
      </c>
      <c r="C37" s="45">
        <v>4</v>
      </c>
      <c r="D37" s="45">
        <v>4</v>
      </c>
      <c r="E37" s="46" t="s">
        <v>198</v>
      </c>
      <c r="F37" s="47" t="s">
        <v>167</v>
      </c>
    </row>
    <row r="38" spans="1:6" x14ac:dyDescent="0.3">
      <c r="A38" s="49"/>
      <c r="B38" s="44"/>
      <c r="C38" s="45"/>
      <c r="D38" s="45"/>
      <c r="E38" s="48"/>
      <c r="F38" s="50"/>
    </row>
    <row r="39" spans="1:6" x14ac:dyDescent="0.3">
      <c r="A39" s="49"/>
      <c r="B39" s="44"/>
      <c r="C39" s="45"/>
      <c r="D39" s="45"/>
      <c r="E39" s="48"/>
      <c r="F39" s="50"/>
    </row>
    <row r="40" spans="1:6" x14ac:dyDescent="0.3">
      <c r="A40" s="49"/>
      <c r="B40" s="44"/>
      <c r="C40" s="45"/>
      <c r="D40" s="45"/>
      <c r="E40" s="48"/>
      <c r="F40" s="50"/>
    </row>
    <row r="41" spans="1:6" x14ac:dyDescent="0.3">
      <c r="A41" s="49"/>
      <c r="B41" s="44"/>
      <c r="C41" s="45"/>
      <c r="D41" s="45"/>
      <c r="E41" s="48"/>
      <c r="F41" s="50"/>
    </row>
    <row r="42" spans="1:6" x14ac:dyDescent="0.3">
      <c r="A42" s="49"/>
      <c r="B42" s="44"/>
      <c r="C42" s="45"/>
      <c r="D42" s="45"/>
      <c r="E42" s="48"/>
      <c r="F42" s="50"/>
    </row>
    <row r="43" spans="1:6" x14ac:dyDescent="0.3">
      <c r="A43" s="49"/>
      <c r="B43" s="44"/>
      <c r="C43" s="45"/>
      <c r="D43" s="45"/>
      <c r="E43" s="48"/>
      <c r="F43" s="50"/>
    </row>
    <row r="44" spans="1:6" x14ac:dyDescent="0.3">
      <c r="A44" s="49"/>
      <c r="B44" s="44"/>
      <c r="C44" s="45"/>
      <c r="D44" s="45"/>
      <c r="E44" s="48"/>
      <c r="F44" s="50"/>
    </row>
    <row r="45" spans="1:6" x14ac:dyDescent="0.3">
      <c r="A45" s="49"/>
      <c r="B45" s="44"/>
      <c r="C45" s="45"/>
      <c r="D45" s="45"/>
      <c r="E45" s="48"/>
      <c r="F45" s="50"/>
    </row>
    <row r="46" spans="1:6" x14ac:dyDescent="0.3">
      <c r="A46" s="49"/>
      <c r="B46" s="44"/>
      <c r="C46" s="45"/>
      <c r="D46" s="45"/>
      <c r="E46" s="48"/>
      <c r="F46" s="50"/>
    </row>
    <row r="47" spans="1:6" x14ac:dyDescent="0.3">
      <c r="A47" s="49"/>
      <c r="B47" s="44"/>
      <c r="C47" s="45"/>
      <c r="D47" s="45"/>
      <c r="E47" s="48"/>
      <c r="F47" s="50"/>
    </row>
    <row r="48" spans="1:6" x14ac:dyDescent="0.3">
      <c r="A48" s="49"/>
      <c r="B48" s="44"/>
      <c r="C48" s="45"/>
      <c r="D48" s="45"/>
      <c r="E48" s="48"/>
      <c r="F48" s="50"/>
    </row>
    <row r="49" spans="1:6" x14ac:dyDescent="0.3">
      <c r="A49" s="49"/>
      <c r="B49" s="44"/>
      <c r="C49" s="45"/>
      <c r="D49" s="45"/>
      <c r="E49" s="48"/>
      <c r="F49" s="50"/>
    </row>
    <row r="50" spans="1:6" x14ac:dyDescent="0.3">
      <c r="A50" s="49"/>
      <c r="B50" s="44"/>
      <c r="C50" s="45"/>
      <c r="D50" s="45"/>
      <c r="E50" s="48"/>
      <c r="F50" s="50"/>
    </row>
    <row r="51" spans="1:6" x14ac:dyDescent="0.3">
      <c r="A51" s="49"/>
      <c r="B51" s="44"/>
      <c r="C51" s="45"/>
      <c r="D51" s="45"/>
      <c r="E51" s="48"/>
      <c r="F51" s="50"/>
    </row>
    <row r="52" spans="1:6" x14ac:dyDescent="0.3">
      <c r="A52" s="49"/>
      <c r="B52" s="44"/>
      <c r="C52" s="45"/>
      <c r="D52" s="45"/>
      <c r="E52" s="48"/>
      <c r="F52" s="50"/>
    </row>
    <row r="53" spans="1:6" x14ac:dyDescent="0.3">
      <c r="A53" s="49"/>
      <c r="B53" s="44"/>
      <c r="C53" s="45"/>
      <c r="D53" s="45"/>
      <c r="E53" s="48"/>
      <c r="F53" s="50"/>
    </row>
    <row r="54" spans="1:6" x14ac:dyDescent="0.3">
      <c r="A54" s="49"/>
      <c r="B54" s="44"/>
      <c r="C54" s="45"/>
      <c r="D54" s="45"/>
      <c r="E54" s="48"/>
      <c r="F54" s="50"/>
    </row>
    <row r="55" spans="1:6" x14ac:dyDescent="0.3">
      <c r="A55" s="49"/>
      <c r="B55" s="44"/>
      <c r="C55" s="45"/>
      <c r="D55" s="45"/>
      <c r="E55" s="48"/>
      <c r="F55" s="50"/>
    </row>
    <row r="56" spans="1:6" x14ac:dyDescent="0.3">
      <c r="A56" s="49"/>
      <c r="B56" s="44"/>
      <c r="C56" s="45"/>
      <c r="D56" s="45"/>
      <c r="E56" s="48"/>
      <c r="F56" s="50"/>
    </row>
    <row r="57" spans="1:6" x14ac:dyDescent="0.3">
      <c r="A57" s="49"/>
      <c r="B57" s="44"/>
      <c r="C57" s="45"/>
      <c r="D57" s="45"/>
      <c r="E57" s="48"/>
      <c r="F57" s="50"/>
    </row>
    <row r="58" spans="1:6" x14ac:dyDescent="0.3">
      <c r="A58" s="49"/>
      <c r="B58" s="44"/>
      <c r="C58" s="45"/>
      <c r="D58" s="45"/>
      <c r="E58" s="48"/>
      <c r="F58" s="50"/>
    </row>
    <row r="59" spans="1:6" x14ac:dyDescent="0.3">
      <c r="A59" s="49"/>
      <c r="B59" s="44"/>
      <c r="C59" s="45"/>
      <c r="D59" s="45"/>
      <c r="E59" s="48"/>
      <c r="F59" s="50"/>
    </row>
    <row r="60" spans="1:6" x14ac:dyDescent="0.3">
      <c r="A60" s="49"/>
      <c r="B60" s="44"/>
      <c r="C60" s="45"/>
      <c r="D60" s="45"/>
      <c r="E60" s="48"/>
      <c r="F60" s="50"/>
    </row>
    <row r="61" spans="1:6" x14ac:dyDescent="0.3">
      <c r="A61" s="49"/>
      <c r="B61" s="44"/>
      <c r="C61" s="45"/>
      <c r="D61" s="45"/>
      <c r="E61" s="48"/>
      <c r="F61" s="50"/>
    </row>
    <row r="62" spans="1:6" x14ac:dyDescent="0.3">
      <c r="A62" s="49"/>
      <c r="B62" s="44"/>
      <c r="C62" s="45"/>
      <c r="D62" s="45"/>
      <c r="E62" s="48"/>
      <c r="F62" s="50"/>
    </row>
    <row r="63" spans="1:6" x14ac:dyDescent="0.3">
      <c r="A63" s="49"/>
      <c r="B63" s="44"/>
      <c r="C63" s="45"/>
      <c r="D63" s="45"/>
      <c r="E63" s="48"/>
      <c r="F63" s="50"/>
    </row>
    <row r="64" spans="1:6" x14ac:dyDescent="0.3">
      <c r="A64" s="49"/>
      <c r="B64" s="44"/>
      <c r="C64" s="45"/>
      <c r="D64" s="45"/>
      <c r="E64" s="48"/>
      <c r="F64" s="50"/>
    </row>
    <row r="65" spans="1:6" x14ac:dyDescent="0.3">
      <c r="A65" s="49"/>
      <c r="B65" s="44"/>
      <c r="C65" s="45"/>
      <c r="D65" s="45"/>
      <c r="E65" s="48"/>
      <c r="F65" s="50"/>
    </row>
    <row r="66" spans="1:6" x14ac:dyDescent="0.3">
      <c r="A66" s="49"/>
      <c r="B66" s="44"/>
      <c r="C66" s="45"/>
      <c r="D66" s="45"/>
      <c r="E66" s="48"/>
      <c r="F66" s="50"/>
    </row>
    <row r="67" spans="1:6" x14ac:dyDescent="0.3">
      <c r="A67" s="49"/>
      <c r="B67" s="44"/>
      <c r="C67" s="45"/>
      <c r="D67" s="45"/>
      <c r="E67" s="48"/>
      <c r="F67" s="50"/>
    </row>
    <row r="68" spans="1:6" x14ac:dyDescent="0.3">
      <c r="A68" s="49"/>
      <c r="B68" s="44"/>
      <c r="C68" s="45"/>
      <c r="D68" s="45"/>
      <c r="E68" s="48"/>
      <c r="F68" s="50"/>
    </row>
    <row r="69" spans="1:6" x14ac:dyDescent="0.3">
      <c r="A69" s="49"/>
      <c r="B69" s="44"/>
      <c r="C69" s="45"/>
      <c r="D69" s="45"/>
      <c r="E69" s="48"/>
      <c r="F69" s="50"/>
    </row>
    <row r="70" spans="1:6" x14ac:dyDescent="0.3">
      <c r="A70" s="49"/>
      <c r="B70" s="44"/>
      <c r="C70" s="45"/>
      <c r="D70" s="45"/>
      <c r="E70" s="48"/>
      <c r="F70" s="50"/>
    </row>
    <row r="71" spans="1:6" x14ac:dyDescent="0.3">
      <c r="A71" s="49"/>
      <c r="B71" s="44"/>
      <c r="C71" s="45"/>
      <c r="D71" s="45"/>
      <c r="E71" s="48"/>
      <c r="F71" s="50"/>
    </row>
    <row r="72" spans="1:6" x14ac:dyDescent="0.3">
      <c r="A72" s="49"/>
      <c r="B72" s="44"/>
      <c r="C72" s="45"/>
      <c r="D72" s="45"/>
      <c r="E72" s="48"/>
      <c r="F72" s="50"/>
    </row>
    <row r="73" spans="1:6" x14ac:dyDescent="0.3">
      <c r="A73" s="49"/>
      <c r="B73" s="44"/>
      <c r="C73" s="45"/>
      <c r="D73" s="45"/>
      <c r="E73" s="48"/>
      <c r="F73" s="50"/>
    </row>
    <row r="74" spans="1:6" x14ac:dyDescent="0.3">
      <c r="A74" s="49"/>
      <c r="B74" s="44"/>
      <c r="C74" s="45"/>
      <c r="D74" s="45"/>
      <c r="E74" s="48"/>
      <c r="F74" s="50"/>
    </row>
    <row r="75" spans="1:6" x14ac:dyDescent="0.3">
      <c r="A75" s="49"/>
      <c r="B75" s="44"/>
      <c r="C75" s="45"/>
      <c r="D75" s="45"/>
      <c r="E75" s="48"/>
      <c r="F75" s="50"/>
    </row>
    <row r="76" spans="1:6" x14ac:dyDescent="0.3">
      <c r="A76" s="49"/>
      <c r="B76" s="44"/>
      <c r="C76" s="45"/>
      <c r="D76" s="45"/>
      <c r="E76" s="48"/>
      <c r="F76" s="50"/>
    </row>
    <row r="77" spans="1:6" x14ac:dyDescent="0.3">
      <c r="A77" s="49"/>
      <c r="B77" s="44"/>
      <c r="C77" s="45"/>
      <c r="D77" s="45"/>
      <c r="E77" s="48"/>
      <c r="F77" s="50"/>
    </row>
    <row r="78" spans="1:6" x14ac:dyDescent="0.3">
      <c r="A78" s="49"/>
      <c r="B78" s="44"/>
      <c r="C78" s="45"/>
      <c r="D78" s="45"/>
      <c r="E78" s="48"/>
      <c r="F78" s="50"/>
    </row>
    <row r="79" spans="1:6" x14ac:dyDescent="0.3">
      <c r="A79" s="49"/>
      <c r="B79" s="44"/>
      <c r="C79" s="45"/>
      <c r="D79" s="45"/>
      <c r="E79" s="48"/>
      <c r="F79" s="50"/>
    </row>
    <row r="80" spans="1:6" x14ac:dyDescent="0.3">
      <c r="A80" s="49"/>
      <c r="B80" s="44"/>
      <c r="C80" s="45"/>
      <c r="D80" s="45"/>
      <c r="E80" s="48"/>
      <c r="F80" s="50"/>
    </row>
    <row r="81" spans="1:6" x14ac:dyDescent="0.3">
      <c r="A81" s="49"/>
      <c r="B81" s="44"/>
      <c r="C81" s="45"/>
      <c r="D81" s="45"/>
      <c r="E81" s="48"/>
      <c r="F81" s="50"/>
    </row>
    <row r="82" spans="1:6" x14ac:dyDescent="0.3">
      <c r="A82" s="49"/>
      <c r="B82" s="44"/>
      <c r="C82" s="45"/>
      <c r="D82" s="45"/>
      <c r="E82" s="48"/>
      <c r="F82" s="50"/>
    </row>
    <row r="83" spans="1:6" x14ac:dyDescent="0.3">
      <c r="A83" s="49"/>
      <c r="B83" s="44"/>
      <c r="C83" s="45"/>
      <c r="D83" s="45"/>
      <c r="E83" s="48"/>
      <c r="F83" s="50"/>
    </row>
    <row r="84" spans="1:6" x14ac:dyDescent="0.3">
      <c r="A84" s="49"/>
      <c r="B84" s="44"/>
      <c r="C84" s="45"/>
      <c r="D84" s="45"/>
      <c r="E84" s="48"/>
      <c r="F84" s="50"/>
    </row>
    <row r="85" spans="1:6" x14ac:dyDescent="0.3">
      <c r="A85" s="49"/>
      <c r="B85" s="44"/>
      <c r="C85" s="45"/>
      <c r="D85" s="45"/>
      <c r="E85" s="48"/>
      <c r="F85" s="50"/>
    </row>
    <row r="86" spans="1:6" x14ac:dyDescent="0.3">
      <c r="A86" s="49"/>
      <c r="B86" s="44"/>
      <c r="C86" s="45"/>
      <c r="D86" s="45"/>
      <c r="E86" s="48"/>
      <c r="F86" s="50"/>
    </row>
    <row r="87" spans="1:6" x14ac:dyDescent="0.3">
      <c r="A87" s="49"/>
      <c r="B87" s="44"/>
      <c r="C87" s="45"/>
      <c r="D87" s="45"/>
      <c r="E87" s="48"/>
      <c r="F87" s="50"/>
    </row>
    <row r="88" spans="1:6" x14ac:dyDescent="0.3">
      <c r="A88" s="49"/>
      <c r="B88" s="44"/>
      <c r="C88" s="45"/>
      <c r="D88" s="45"/>
      <c r="E88" s="48"/>
      <c r="F88" s="50"/>
    </row>
    <row r="89" spans="1:6" x14ac:dyDescent="0.3">
      <c r="A89" s="49"/>
      <c r="B89" s="44"/>
      <c r="C89" s="45"/>
      <c r="D89" s="45"/>
      <c r="E89" s="48"/>
      <c r="F89" s="50"/>
    </row>
    <row r="90" spans="1:6" x14ac:dyDescent="0.3">
      <c r="A90" s="49"/>
      <c r="B90" s="44"/>
      <c r="C90" s="45"/>
      <c r="D90" s="45"/>
      <c r="E90" s="48"/>
      <c r="F90" s="50"/>
    </row>
    <row r="91" spans="1:6" x14ac:dyDescent="0.3">
      <c r="A91" s="49"/>
      <c r="B91" s="44"/>
      <c r="C91" s="45"/>
      <c r="D91" s="45"/>
      <c r="E91" s="48"/>
      <c r="F91" s="50"/>
    </row>
    <row r="92" spans="1:6" x14ac:dyDescent="0.3">
      <c r="A92" s="49"/>
      <c r="B92" s="44"/>
      <c r="C92" s="45"/>
      <c r="D92" s="45"/>
      <c r="E92" s="48"/>
      <c r="F92" s="50"/>
    </row>
    <row r="93" spans="1:6" x14ac:dyDescent="0.3">
      <c r="A93" s="49"/>
      <c r="B93" s="44"/>
      <c r="C93" s="45"/>
      <c r="D93" s="45"/>
      <c r="E93" s="48"/>
      <c r="F93" s="50"/>
    </row>
    <row r="94" spans="1:6" x14ac:dyDescent="0.3">
      <c r="A94" s="49"/>
      <c r="B94" s="44"/>
      <c r="C94" s="45"/>
      <c r="D94" s="45"/>
      <c r="E94" s="48"/>
      <c r="F94" s="50"/>
    </row>
    <row r="95" spans="1:6" x14ac:dyDescent="0.3">
      <c r="A95" s="49"/>
      <c r="B95" s="44"/>
      <c r="C95" s="45"/>
      <c r="D95" s="45"/>
      <c r="E95" s="48"/>
      <c r="F95" s="50"/>
    </row>
    <row r="96" spans="1:6" x14ac:dyDescent="0.3">
      <c r="A96" s="49"/>
      <c r="B96" s="44"/>
      <c r="C96" s="45"/>
      <c r="D96" s="45"/>
      <c r="E96" s="48"/>
      <c r="F96" s="50"/>
    </row>
    <row r="97" spans="1:6" x14ac:dyDescent="0.3">
      <c r="A97" s="49"/>
      <c r="B97" s="44"/>
      <c r="C97" s="45"/>
      <c r="D97" s="45"/>
      <c r="E97" s="48"/>
      <c r="F97" s="50"/>
    </row>
    <row r="98" spans="1:6" x14ac:dyDescent="0.3">
      <c r="A98" s="49"/>
      <c r="B98" s="44"/>
      <c r="C98" s="45"/>
      <c r="D98" s="45"/>
      <c r="E98" s="48"/>
      <c r="F98" s="50"/>
    </row>
    <row r="99" spans="1:6" x14ac:dyDescent="0.3">
      <c r="A99" s="49"/>
      <c r="B99" s="44"/>
      <c r="C99" s="45"/>
      <c r="D99" s="45"/>
      <c r="E99" s="48"/>
      <c r="F99" s="50"/>
    </row>
    <row r="100" spans="1:6" x14ac:dyDescent="0.3">
      <c r="A100" s="49"/>
      <c r="B100" s="44"/>
      <c r="C100" s="45"/>
      <c r="D100" s="45"/>
      <c r="E100" s="48"/>
      <c r="F100" s="50"/>
    </row>
    <row r="101" spans="1:6" x14ac:dyDescent="0.3">
      <c r="A101" s="49"/>
      <c r="B101" s="44"/>
      <c r="C101" s="45"/>
      <c r="D101" s="45"/>
      <c r="E101" s="48"/>
      <c r="F101" s="50"/>
    </row>
    <row r="102" spans="1:6" x14ac:dyDescent="0.3">
      <c r="A102" s="49"/>
      <c r="B102" s="44"/>
      <c r="C102" s="45"/>
      <c r="D102" s="45"/>
      <c r="E102" s="48"/>
      <c r="F102" s="50"/>
    </row>
    <row r="103" spans="1:6" x14ac:dyDescent="0.3">
      <c r="A103" s="49"/>
      <c r="B103" s="44"/>
      <c r="C103" s="45"/>
      <c r="D103" s="45"/>
      <c r="E103" s="48"/>
      <c r="F103" s="50"/>
    </row>
    <row r="104" spans="1:6" x14ac:dyDescent="0.3">
      <c r="A104" s="49"/>
      <c r="B104" s="44"/>
      <c r="C104" s="45"/>
      <c r="D104" s="45"/>
      <c r="E104" s="48"/>
      <c r="F104" s="50"/>
    </row>
    <row r="105" spans="1:6" x14ac:dyDescent="0.3">
      <c r="A105" s="49"/>
      <c r="B105" s="44"/>
      <c r="C105" s="45"/>
      <c r="D105" s="45"/>
      <c r="E105" s="48"/>
      <c r="F105" s="50"/>
    </row>
    <row r="106" spans="1:6" x14ac:dyDescent="0.3">
      <c r="A106" s="49"/>
      <c r="B106" s="44"/>
      <c r="C106" s="45"/>
      <c r="D106" s="45"/>
      <c r="E106" s="48"/>
      <c r="F106" s="50"/>
    </row>
    <row r="107" spans="1:6" x14ac:dyDescent="0.3">
      <c r="A107" s="49"/>
      <c r="B107" s="44"/>
      <c r="C107" s="45"/>
      <c r="D107" s="45"/>
      <c r="E107" s="48"/>
      <c r="F107" s="50"/>
    </row>
    <row r="108" spans="1:6" x14ac:dyDescent="0.3">
      <c r="A108" s="49"/>
      <c r="B108" s="44"/>
      <c r="C108" s="45"/>
      <c r="D108" s="45"/>
      <c r="E108" s="48"/>
      <c r="F108" s="50"/>
    </row>
    <row r="109" spans="1:6" x14ac:dyDescent="0.3">
      <c r="A109" s="49"/>
      <c r="B109" s="44"/>
      <c r="C109" s="45"/>
      <c r="D109" s="45"/>
      <c r="E109" s="48"/>
      <c r="F109" s="50"/>
    </row>
    <row r="110" spans="1:6" x14ac:dyDescent="0.3">
      <c r="A110" s="49"/>
      <c r="B110" s="44"/>
      <c r="C110" s="45"/>
      <c r="D110" s="45"/>
      <c r="E110" s="48"/>
      <c r="F110" s="50"/>
    </row>
    <row r="111" spans="1:6" x14ac:dyDescent="0.3">
      <c r="A111" s="49"/>
      <c r="B111" s="44"/>
      <c r="C111" s="45"/>
      <c r="D111" s="45"/>
      <c r="E111" s="48"/>
      <c r="F111" s="50"/>
    </row>
    <row r="112" spans="1:6" x14ac:dyDescent="0.3">
      <c r="A112" s="49"/>
      <c r="B112" s="44"/>
      <c r="C112" s="45"/>
      <c r="D112" s="45"/>
      <c r="E112" s="48"/>
      <c r="F112" s="50"/>
    </row>
    <row r="113" spans="1:6" x14ac:dyDescent="0.3">
      <c r="A113" s="49"/>
      <c r="B113" s="44"/>
      <c r="C113" s="45"/>
      <c r="D113" s="45"/>
      <c r="E113" s="48"/>
      <c r="F113" s="50"/>
    </row>
    <row r="114" spans="1:6" x14ac:dyDescent="0.3">
      <c r="A114" s="49"/>
      <c r="B114" s="44"/>
      <c r="C114" s="45"/>
      <c r="D114" s="45"/>
      <c r="E114" s="48"/>
      <c r="F114" s="50"/>
    </row>
    <row r="115" spans="1:6" x14ac:dyDescent="0.3">
      <c r="A115" s="49"/>
      <c r="B115" s="44"/>
      <c r="C115" s="45"/>
      <c r="D115" s="45"/>
      <c r="E115" s="48"/>
      <c r="F115" s="50"/>
    </row>
    <row r="116" spans="1:6" x14ac:dyDescent="0.3">
      <c r="A116" s="49"/>
      <c r="B116" s="44"/>
      <c r="C116" s="45"/>
      <c r="D116" s="45"/>
      <c r="E116" s="48"/>
      <c r="F116" s="50"/>
    </row>
    <row r="117" spans="1:6" x14ac:dyDescent="0.3">
      <c r="A117" s="49"/>
      <c r="B117" s="44"/>
      <c r="C117" s="45"/>
      <c r="D117" s="45"/>
      <c r="E117" s="48"/>
      <c r="F117" s="50"/>
    </row>
    <row r="118" spans="1:6" x14ac:dyDescent="0.3">
      <c r="A118" s="49"/>
      <c r="B118" s="44"/>
      <c r="C118" s="45"/>
      <c r="D118" s="45"/>
      <c r="E118" s="48"/>
      <c r="F118" s="50"/>
    </row>
    <row r="119" spans="1:6" x14ac:dyDescent="0.3">
      <c r="A119" s="49"/>
      <c r="B119" s="44"/>
      <c r="C119" s="45"/>
      <c r="D119" s="45"/>
      <c r="E119" s="48"/>
      <c r="F119" s="50"/>
    </row>
    <row r="120" spans="1:6" x14ac:dyDescent="0.3">
      <c r="A120" s="49"/>
      <c r="B120" s="44"/>
      <c r="C120" s="45"/>
      <c r="D120" s="45"/>
      <c r="E120" s="48"/>
      <c r="F120" s="50"/>
    </row>
    <row r="121" spans="1:6" x14ac:dyDescent="0.3">
      <c r="A121" s="49"/>
      <c r="B121" s="44"/>
      <c r="C121" s="45"/>
      <c r="D121" s="45"/>
      <c r="E121" s="48"/>
      <c r="F121" s="50"/>
    </row>
    <row r="122" spans="1:6" x14ac:dyDescent="0.3">
      <c r="A122" s="49"/>
      <c r="B122" s="44"/>
      <c r="C122" s="45"/>
      <c r="D122" s="45"/>
      <c r="E122" s="48"/>
      <c r="F122" s="50"/>
    </row>
    <row r="123" spans="1:6" x14ac:dyDescent="0.3">
      <c r="A123" s="49"/>
      <c r="B123" s="44"/>
      <c r="C123" s="45"/>
      <c r="D123" s="45"/>
      <c r="E123" s="48"/>
      <c r="F123" s="50"/>
    </row>
    <row r="124" spans="1:6" x14ac:dyDescent="0.3">
      <c r="A124" s="49"/>
      <c r="B124" s="44"/>
      <c r="C124" s="45"/>
      <c r="D124" s="45"/>
      <c r="E124" s="48"/>
      <c r="F124" s="50"/>
    </row>
    <row r="125" spans="1:6" x14ac:dyDescent="0.3">
      <c r="A125" s="49"/>
      <c r="B125" s="44"/>
      <c r="C125" s="45"/>
      <c r="D125" s="45"/>
      <c r="E125" s="48"/>
      <c r="F125" s="50"/>
    </row>
    <row r="126" spans="1:6" x14ac:dyDescent="0.3">
      <c r="A126" s="49"/>
      <c r="B126" s="44"/>
      <c r="C126" s="45"/>
      <c r="D126" s="45"/>
      <c r="E126" s="48"/>
      <c r="F126" s="50"/>
    </row>
    <row r="127" spans="1:6" x14ac:dyDescent="0.3">
      <c r="A127" s="49"/>
      <c r="B127" s="44"/>
      <c r="C127" s="45"/>
      <c r="D127" s="45"/>
      <c r="E127" s="48"/>
      <c r="F127" s="50"/>
    </row>
    <row r="128" spans="1:6" x14ac:dyDescent="0.3">
      <c r="A128" s="49"/>
      <c r="B128" s="44"/>
      <c r="C128" s="45"/>
      <c r="D128" s="45"/>
      <c r="E128" s="48"/>
      <c r="F128" s="50"/>
    </row>
    <row r="129" spans="1:6" x14ac:dyDescent="0.3">
      <c r="A129" s="49"/>
      <c r="B129" s="44"/>
      <c r="C129" s="45"/>
      <c r="D129" s="45"/>
      <c r="E129" s="48"/>
      <c r="F129" s="50"/>
    </row>
    <row r="130" spans="1:6" x14ac:dyDescent="0.3">
      <c r="A130" s="49"/>
      <c r="B130" s="44"/>
      <c r="C130" s="45"/>
      <c r="D130" s="45"/>
      <c r="E130" s="48"/>
      <c r="F130" s="50"/>
    </row>
    <row r="131" spans="1:6" x14ac:dyDescent="0.3">
      <c r="A131" s="49"/>
      <c r="B131" s="44"/>
      <c r="C131" s="45"/>
      <c r="D131" s="45"/>
      <c r="E131" s="48"/>
      <c r="F131" s="50"/>
    </row>
    <row r="132" spans="1:6" x14ac:dyDescent="0.3">
      <c r="A132" s="49"/>
      <c r="B132" s="44"/>
      <c r="C132" s="45"/>
      <c r="D132" s="45"/>
      <c r="E132" s="48"/>
      <c r="F132" s="50"/>
    </row>
    <row r="133" spans="1:6" x14ac:dyDescent="0.3">
      <c r="A133" s="49"/>
      <c r="B133" s="44"/>
      <c r="C133" s="45"/>
      <c r="D133" s="45"/>
      <c r="E133" s="48"/>
      <c r="F133" s="50"/>
    </row>
    <row r="134" spans="1:6" x14ac:dyDescent="0.3">
      <c r="A134" s="49"/>
      <c r="B134" s="44"/>
      <c r="C134" s="45"/>
      <c r="D134" s="45"/>
      <c r="E134" s="48"/>
      <c r="F134" s="50"/>
    </row>
    <row r="135" spans="1:6" x14ac:dyDescent="0.3">
      <c r="A135" s="49"/>
      <c r="B135" s="44"/>
      <c r="C135" s="45"/>
      <c r="D135" s="45"/>
      <c r="E135" s="48"/>
      <c r="F135" s="50"/>
    </row>
    <row r="136" spans="1:6" x14ac:dyDescent="0.3">
      <c r="A136" s="49"/>
      <c r="B136" s="44"/>
      <c r="C136" s="45"/>
      <c r="D136" s="45"/>
      <c r="E136" s="48"/>
      <c r="F136" s="50"/>
    </row>
    <row r="137" spans="1:6" x14ac:dyDescent="0.3">
      <c r="A137" s="49"/>
      <c r="B137" s="44"/>
      <c r="C137" s="45"/>
      <c r="D137" s="45"/>
      <c r="E137" s="48"/>
      <c r="F137" s="50"/>
    </row>
    <row r="138" spans="1:6" x14ac:dyDescent="0.3">
      <c r="A138" s="49"/>
      <c r="B138" s="44"/>
      <c r="C138" s="45"/>
      <c r="D138" s="45"/>
      <c r="E138" s="48"/>
      <c r="F138" s="50"/>
    </row>
    <row r="139" spans="1:6" x14ac:dyDescent="0.3">
      <c r="A139" s="49"/>
      <c r="B139" s="44"/>
      <c r="C139" s="45"/>
      <c r="D139" s="45"/>
      <c r="E139" s="48"/>
      <c r="F139" s="50"/>
    </row>
  </sheetData>
  <mergeCells count="1">
    <mergeCell ref="A1:F1"/>
  </mergeCells>
  <pageMargins left="0.75" right="0.75" top="1" bottom="1" header="0.511811023622047" footer="0.511811023622047"/>
  <headerFooter>
    <oddHeader>&amp;C&amp;K8B8000&amp;10&amp;"Calibri"Confidential External - مقيد (خارجي)</oddHead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</sheetPr>
  <dimension ref="A1:D24"/>
  <sheetViews>
    <sheetView showGridLines="0" rightToLeft="1" workbookViewId="0">
      <selection activeCell="A24" sqref="A24"/>
    </sheetView>
  </sheetViews>
  <sheetFormatPr defaultRowHeight="14.4" x14ac:dyDescent="0.3"/>
  <cols>
    <col min="1" max="4" width="30" customWidth="1"/>
  </cols>
  <sheetData>
    <row r="1" spans="1:4" ht="27.75" customHeight="1" x14ac:dyDescent="0.3">
      <c r="A1" s="83" t="s">
        <v>96</v>
      </c>
      <c r="B1" s="83"/>
      <c r="C1" s="83"/>
      <c r="D1" s="83"/>
    </row>
    <row r="3" spans="1:4" ht="18" customHeight="1" x14ac:dyDescent="0.3">
      <c r="A3" s="51"/>
      <c r="B3" s="51"/>
      <c r="C3" s="51"/>
      <c r="D3" s="51"/>
    </row>
    <row r="4" spans="1:4" ht="18" customHeight="1" x14ac:dyDescent="0.3">
      <c r="A4" s="52"/>
      <c r="B4" s="52"/>
      <c r="C4" s="52"/>
      <c r="D4" s="52"/>
    </row>
    <row r="5" spans="1:4" ht="18" customHeight="1" x14ac:dyDescent="0.3">
      <c r="A5" s="52"/>
      <c r="B5" s="52"/>
      <c r="C5" s="52"/>
      <c r="D5" s="52"/>
    </row>
    <row r="6" spans="1:4" ht="18" customHeight="1" x14ac:dyDescent="0.3">
      <c r="A6" s="52"/>
      <c r="B6" s="52"/>
      <c r="C6" s="52"/>
      <c r="D6" s="52"/>
    </row>
    <row r="7" spans="1:4" ht="18" customHeight="1" x14ac:dyDescent="0.3">
      <c r="A7" s="52"/>
      <c r="B7" s="52"/>
      <c r="C7" s="52"/>
      <c r="D7" s="52"/>
    </row>
    <row r="8" spans="1:4" ht="18" customHeight="1" x14ac:dyDescent="0.3">
      <c r="A8" s="52"/>
      <c r="B8" s="52"/>
      <c r="C8" s="52"/>
      <c r="D8" s="52"/>
    </row>
    <row r="9" spans="1:4" ht="18" customHeight="1" x14ac:dyDescent="0.3">
      <c r="A9" s="52"/>
      <c r="B9" s="52"/>
      <c r="C9" s="52"/>
      <c r="D9" s="52"/>
    </row>
    <row r="10" spans="1:4" ht="18" customHeight="1" x14ac:dyDescent="0.3">
      <c r="A10" s="52"/>
      <c r="B10" s="52"/>
      <c r="C10" s="52"/>
      <c r="D10" s="52"/>
    </row>
    <row r="11" spans="1:4" ht="18" customHeight="1" x14ac:dyDescent="0.3">
      <c r="A11" s="52"/>
      <c r="B11" s="52"/>
      <c r="C11" s="52"/>
      <c r="D11" s="52"/>
    </row>
    <row r="12" spans="1:4" ht="18" customHeight="1" thickBot="1" x14ac:dyDescent="0.35">
      <c r="A12" s="51"/>
      <c r="B12" s="51"/>
      <c r="C12" s="51"/>
      <c r="D12" s="51"/>
    </row>
    <row r="13" spans="1:4" ht="15" thickBot="1" x14ac:dyDescent="0.35">
      <c r="A13" s="53" t="s">
        <v>199</v>
      </c>
      <c r="B13" s="53" t="s">
        <v>199</v>
      </c>
      <c r="C13" s="53" t="s">
        <v>199</v>
      </c>
      <c r="D13" s="53" t="s">
        <v>199</v>
      </c>
    </row>
    <row r="14" spans="1:4" ht="18" customHeight="1" thickBot="1" x14ac:dyDescent="0.35">
      <c r="A14" s="51"/>
      <c r="B14" s="51"/>
      <c r="C14" s="51"/>
      <c r="D14" s="51"/>
    </row>
    <row r="15" spans="1:4" ht="18" customHeight="1" x14ac:dyDescent="0.3">
      <c r="A15" s="52"/>
      <c r="B15" s="52"/>
      <c r="C15" s="52"/>
      <c r="D15" s="52"/>
    </row>
    <row r="16" spans="1:4" ht="18" customHeight="1" x14ac:dyDescent="0.3">
      <c r="A16" s="52"/>
      <c r="B16" s="52"/>
      <c r="C16" s="52"/>
      <c r="D16" s="52"/>
    </row>
    <row r="17" spans="1:4" ht="18" customHeight="1" x14ac:dyDescent="0.3">
      <c r="A17" s="52"/>
      <c r="B17" s="52"/>
      <c r="C17" s="52"/>
      <c r="D17" s="52"/>
    </row>
    <row r="18" spans="1:4" ht="18" customHeight="1" x14ac:dyDescent="0.3">
      <c r="A18" s="52"/>
      <c r="B18" s="52"/>
      <c r="C18" s="52"/>
      <c r="D18" s="52"/>
    </row>
    <row r="19" spans="1:4" ht="18" customHeight="1" x14ac:dyDescent="0.3">
      <c r="A19" s="52"/>
      <c r="B19" s="52"/>
      <c r="C19" s="52"/>
      <c r="D19" s="52"/>
    </row>
    <row r="20" spans="1:4" ht="18" customHeight="1" x14ac:dyDescent="0.3">
      <c r="A20" s="52"/>
      <c r="B20" s="52"/>
      <c r="C20" s="52"/>
      <c r="D20" s="52"/>
    </row>
    <row r="21" spans="1:4" ht="18" customHeight="1" x14ac:dyDescent="0.3">
      <c r="A21" s="52"/>
      <c r="B21" s="52"/>
      <c r="C21" s="52"/>
      <c r="D21" s="52"/>
    </row>
    <row r="22" spans="1:4" ht="18" customHeight="1" thickBot="1" x14ac:dyDescent="0.35">
      <c r="A22" s="52"/>
      <c r="B22" s="52"/>
      <c r="C22" s="52"/>
      <c r="D22" s="52"/>
    </row>
    <row r="23" spans="1:4" ht="18" customHeight="1" thickBot="1" x14ac:dyDescent="0.35">
      <c r="A23" s="51"/>
      <c r="B23" s="51"/>
      <c r="C23" s="51"/>
      <c r="D23" s="51"/>
    </row>
    <row r="24" spans="1:4" x14ac:dyDescent="0.3">
      <c r="A24" s="53" t="s">
        <v>199</v>
      </c>
      <c r="B24" s="53" t="s">
        <v>199</v>
      </c>
      <c r="C24" s="53" t="s">
        <v>199</v>
      </c>
      <c r="D24" s="53" t="s">
        <v>199</v>
      </c>
    </row>
  </sheetData>
  <mergeCells count="1">
    <mergeCell ref="A1:D1"/>
  </mergeCells>
  <pageMargins left="0.75" right="0.75" top="1" bottom="1" header="0.511811023622047" footer="0.511811023622047"/>
  <headerFooter>
    <oddHeader>&amp;C&amp;K8B8000&amp;10&amp;"Calibri"Confidential External - مقيد (خارجي)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H21"/>
  <sheetViews>
    <sheetView rightToLeft="1" workbookViewId="0">
      <selection activeCell="C7" sqref="C7"/>
    </sheetView>
  </sheetViews>
  <sheetFormatPr defaultRowHeight="14.4" x14ac:dyDescent="0.3"/>
  <cols>
    <col min="1" max="8" width="20" customWidth="1"/>
  </cols>
  <sheetData>
    <row r="1" spans="1:8" x14ac:dyDescent="0.3">
      <c r="A1" s="54" t="s">
        <v>97</v>
      </c>
      <c r="B1" s="54" t="s">
        <v>98</v>
      </c>
      <c r="C1" s="54" t="s">
        <v>57</v>
      </c>
      <c r="D1" s="54" t="s">
        <v>99</v>
      </c>
      <c r="E1" s="54" t="s">
        <v>3</v>
      </c>
      <c r="F1" s="54" t="s">
        <v>100</v>
      </c>
      <c r="G1" s="54" t="s">
        <v>68</v>
      </c>
      <c r="H1" s="54" t="s">
        <v>27</v>
      </c>
    </row>
    <row r="2" spans="1:8" x14ac:dyDescent="0.25">
      <c r="A2" s="55" t="s">
        <v>36</v>
      </c>
      <c r="B2" s="55" t="s">
        <v>83</v>
      </c>
      <c r="C2" s="55" t="s">
        <v>63</v>
      </c>
      <c r="D2" s="55" t="s">
        <v>52</v>
      </c>
      <c r="E2" s="55" t="s">
        <v>4</v>
      </c>
      <c r="F2" s="55" t="s">
        <v>74</v>
      </c>
      <c r="G2" s="55" t="s">
        <v>75</v>
      </c>
      <c r="H2" s="55" t="s">
        <v>35</v>
      </c>
    </row>
    <row r="3" spans="1:8" x14ac:dyDescent="0.25">
      <c r="A3" s="55" t="s">
        <v>38</v>
      </c>
      <c r="B3" s="55" t="s">
        <v>76</v>
      </c>
      <c r="C3" s="55" t="s">
        <v>101</v>
      </c>
      <c r="D3" s="55" t="s">
        <v>49</v>
      </c>
      <c r="E3" s="55" t="s">
        <v>102</v>
      </c>
      <c r="F3" s="55" t="s">
        <v>103</v>
      </c>
      <c r="G3" s="55" t="s">
        <v>82</v>
      </c>
      <c r="H3" s="55" t="s">
        <v>37</v>
      </c>
    </row>
    <row r="4" spans="1:8" x14ac:dyDescent="0.25">
      <c r="A4" s="55" t="s">
        <v>104</v>
      </c>
      <c r="B4" s="55" t="s">
        <v>80</v>
      </c>
      <c r="C4" s="55" t="s">
        <v>105</v>
      </c>
      <c r="D4" s="55" t="s">
        <v>50</v>
      </c>
      <c r="F4" s="55" t="s">
        <v>81</v>
      </c>
      <c r="G4" s="55" t="s">
        <v>106</v>
      </c>
      <c r="H4" s="55" t="s">
        <v>40</v>
      </c>
    </row>
    <row r="5" spans="1:8" x14ac:dyDescent="0.25">
      <c r="A5" s="55" t="s">
        <v>107</v>
      </c>
      <c r="B5" s="55" t="s">
        <v>108</v>
      </c>
      <c r="C5" s="55" t="s">
        <v>109</v>
      </c>
      <c r="D5" s="55" t="s">
        <v>108</v>
      </c>
      <c r="F5" s="55" t="s">
        <v>110</v>
      </c>
      <c r="H5" s="55" t="s">
        <v>51</v>
      </c>
    </row>
    <row r="6" spans="1:8" x14ac:dyDescent="0.25">
      <c r="A6" s="55" t="s">
        <v>111</v>
      </c>
      <c r="B6" s="55" t="s">
        <v>112</v>
      </c>
      <c r="C6" s="55" t="s">
        <v>113</v>
      </c>
      <c r="F6" s="55" t="s">
        <v>78</v>
      </c>
      <c r="H6" s="55" t="s">
        <v>114</v>
      </c>
    </row>
    <row r="7" spans="1:8" x14ac:dyDescent="0.25">
      <c r="A7" s="55" t="s">
        <v>115</v>
      </c>
      <c r="B7" s="55" t="s">
        <v>116</v>
      </c>
      <c r="F7" s="55" t="s">
        <v>117</v>
      </c>
      <c r="H7" s="55" t="s">
        <v>118</v>
      </c>
    </row>
    <row r="8" spans="1:8" x14ac:dyDescent="0.25">
      <c r="A8" s="55" t="s">
        <v>119</v>
      </c>
      <c r="B8" s="55" t="s">
        <v>120</v>
      </c>
      <c r="F8" s="55" t="s">
        <v>121</v>
      </c>
    </row>
    <row r="9" spans="1:8" x14ac:dyDescent="0.25">
      <c r="F9" s="55" t="s">
        <v>122</v>
      </c>
    </row>
    <row r="12" spans="1:8" ht="19.5" customHeight="1" x14ac:dyDescent="0.3">
      <c r="A12" s="85" t="s">
        <v>123</v>
      </c>
      <c r="B12" s="85"/>
      <c r="C12" s="85"/>
      <c r="D12" s="85"/>
      <c r="E12" s="85"/>
      <c r="F12" s="85"/>
      <c r="G12" s="85"/>
      <c r="H12" s="85"/>
    </row>
    <row r="13" spans="1:8" ht="19.5" customHeight="1" x14ac:dyDescent="0.3">
      <c r="A13" s="84" t="s">
        <v>124</v>
      </c>
      <c r="B13" s="84"/>
      <c r="C13" s="84"/>
      <c r="D13" s="84"/>
      <c r="E13" s="84"/>
      <c r="F13" s="84"/>
      <c r="G13" s="84"/>
      <c r="H13" s="84"/>
    </row>
    <row r="14" spans="1:8" ht="19.5" customHeight="1" x14ac:dyDescent="0.3">
      <c r="A14" s="86" t="s">
        <v>125</v>
      </c>
      <c r="B14" s="86"/>
      <c r="C14" s="86"/>
      <c r="D14" s="86"/>
      <c r="E14" s="86"/>
      <c r="F14" s="86"/>
      <c r="G14" s="86"/>
      <c r="H14" s="86"/>
    </row>
    <row r="15" spans="1:8" ht="19.5" customHeight="1" x14ac:dyDescent="0.3">
      <c r="A15" s="84" t="s">
        <v>126</v>
      </c>
      <c r="B15" s="84"/>
      <c r="C15" s="84"/>
      <c r="D15" s="84"/>
      <c r="E15" s="84"/>
      <c r="F15" s="84"/>
      <c r="G15" s="84"/>
      <c r="H15" s="84"/>
    </row>
    <row r="16" spans="1:8" ht="19.5" customHeight="1" x14ac:dyDescent="0.3">
      <c r="A16" s="86" t="s">
        <v>127</v>
      </c>
      <c r="B16" s="86"/>
      <c r="C16" s="86"/>
      <c r="D16" s="86"/>
      <c r="E16" s="86"/>
      <c r="F16" s="86"/>
      <c r="G16" s="86"/>
      <c r="H16" s="86"/>
    </row>
    <row r="17" spans="1:8" ht="19.5" customHeight="1" x14ac:dyDescent="0.3">
      <c r="A17" s="84" t="s">
        <v>128</v>
      </c>
      <c r="B17" s="84"/>
      <c r="C17" s="84"/>
      <c r="D17" s="84"/>
      <c r="E17" s="84"/>
      <c r="F17" s="84"/>
      <c r="G17" s="84"/>
      <c r="H17" s="84"/>
    </row>
    <row r="18" spans="1:8" ht="19.5" customHeight="1" x14ac:dyDescent="0.3">
      <c r="A18" s="86" t="s">
        <v>129</v>
      </c>
      <c r="B18" s="86"/>
      <c r="C18" s="86"/>
      <c r="D18" s="86"/>
      <c r="E18" s="86"/>
      <c r="F18" s="86"/>
      <c r="G18" s="86"/>
      <c r="H18" s="86"/>
    </row>
    <row r="19" spans="1:8" ht="19.5" customHeight="1" x14ac:dyDescent="0.3">
      <c r="A19" s="84" t="s">
        <v>130</v>
      </c>
      <c r="B19" s="84"/>
      <c r="C19" s="84"/>
      <c r="D19" s="84"/>
      <c r="E19" s="84"/>
      <c r="F19" s="84"/>
      <c r="G19" s="84"/>
      <c r="H19" s="84"/>
    </row>
    <row r="20" spans="1:8" ht="19.5" customHeight="1" x14ac:dyDescent="0.3">
      <c r="A20" s="86" t="s">
        <v>131</v>
      </c>
      <c r="B20" s="86"/>
      <c r="C20" s="86"/>
      <c r="D20" s="86"/>
      <c r="E20" s="86"/>
      <c r="F20" s="86"/>
      <c r="G20" s="86"/>
      <c r="H20" s="86"/>
    </row>
    <row r="21" spans="1:8" ht="19.5" customHeight="1" x14ac:dyDescent="0.3">
      <c r="A21" s="84" t="s">
        <v>132</v>
      </c>
      <c r="B21" s="84"/>
      <c r="C21" s="84"/>
      <c r="D21" s="84"/>
      <c r="E21" s="84"/>
      <c r="F21" s="84"/>
      <c r="G21" s="84"/>
      <c r="H21" s="84"/>
    </row>
  </sheetData>
  <mergeCells count="10">
    <mergeCell ref="A21:H21"/>
    <mergeCell ref="A12:H12"/>
    <mergeCell ref="A19:H19"/>
    <mergeCell ref="A17:H17"/>
    <mergeCell ref="A15:H15"/>
    <mergeCell ref="A20:H20"/>
    <mergeCell ref="A13:H13"/>
    <mergeCell ref="A18:H18"/>
    <mergeCell ref="A16:H16"/>
    <mergeCell ref="A14:H14"/>
  </mergeCells>
  <pageMargins left="0.75" right="0.75" top="1" bottom="1" header="0.511811023622047" footer="0.511811023622047"/>
  <headerFooter>
    <oddHeader>&amp;C&amp;K8B8000&amp;10&amp;"Calibri"Confidential External - مقيد (خارجي)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4</vt:i4>
      </vt:variant>
      <vt:variant>
        <vt:lpstr>النطاقات المسماة</vt:lpstr>
      </vt:variant>
      <vt:variant>
        <vt:i4>1</vt:i4>
      </vt:variant>
    </vt:vector>
  </HeadingPairs>
  <TitlesOfParts>
    <vt:vector size="5" baseType="lpstr">
      <vt:lpstr>تقرير المشروع</vt:lpstr>
      <vt:lpstr>سجل الإنجاز اليومي</vt:lpstr>
      <vt:lpstr>صور التنفيذ بالموقع</vt:lpstr>
      <vt:lpstr>القوائم</vt:lpstr>
      <vt:lpstr>'تقرير المشروع'!Print_Area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HOME</cp:lastModifiedBy>
  <dcterms:created xsi:type="dcterms:W3CDTF">2026-08-17T07:52:04Z</dcterms:created>
  <dcterms:modified xsi:type="dcterms:W3CDTF">2026-09-13T21:10:30Z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617-2E9C-101B-9397-08002B2CF9AE}" pid="2" name="ClassificationTagSetId">
    <vt:lpwstr>e16409a7-1700-4153-9090-3955bc2f0ae8</vt:lpwstr>
  </property>
  <property fmtid="{D5CDD617-2E9C-101B-9397-08002B2CF9AE}" pid="3" name="DistributionHash">
    <vt:lpwstr>ec0cbdcb-4374-68a0-5fbc-ae8e73731f69</vt:lpwstr>
  </property>
  <property fmtid="{D5CDD617-2E9C-101B-9397-08002B2CF9AE}" pid="4" name="GVData0">
    <vt:lpwstr>bnRpYWwiLA0KICAiZG9jSUQiOiAiMDEyMzI3MTMtZTkxYi00NTg0LThjNGMtN2ZlOGUzZGJiYTU1IiwNCiAgIk9TIjogIldpbmRvd3MiLA0KICAiT3B0aW9ucyI6ICJ7XHUwMDIyUG9wdXBDb25maWd1cmF0aW9uXHUwMDIyOntcdTAwMjJBbHdheXNTaG205UG9wdXBc</vt:lpwstr>
  </property>
  <property fmtid="{D5CDD617-2E9C-101B-9397-08002B2CF9AE}" pid="5" name="CurrentState">
    <vt:lpwstr>{"FirstPageDifferent":false,"DifferentOddAndEvenPages":false,"PageCount":4,"HeaderMetadata":"{\"Left\":\"\",\"Center\":\"Confidential External - مقيد (خارجي)\",\"Right\":\"\"}","ThirdPartyHeaderMetadata":"","GVHeaderExists":true,"NonGVHeaderExists":false,</vt:lpwstr>
  </property>
  <property fmtid="{D5CDD617-2E9C-101B-9397-08002B2CF9AE}" pid="6" name="Classification">
    <vt:lpwstr>مقيد / Confidential</vt:lpwstr>
  </property>
  <property fmtid="{D5CDD617-2E9C-101B-9397-08002B2CF9AE}" pid="7" name="GVData8">
    <vt:lpwstr>dTAwMjJGb290ZXJVcGRhdGVUeXBlXHUwMDIyOjAsXHUwMDIyV2F0ZXJtYXJrXHUwMDIyOm51bGwsXHUwMDIyV2F0ZXJtYXJrRW5hYmxlZFx1MDAyMjpmYWxzZSxcdTAwMjJTaG203bGRXcml0ZVdhdGVybWFya1x1MDAyMjpmYWxzZSxcdTAwMjJXYXRlcm1hcmtVcGRh</vt:lpwstr>
  </property>
  <property fmtid="{D5CDD617-2E9C-101B-9397-08002B2CF9AE}" pid="8" name="GVData7">
    <vt:lpwstr>ZXJFbmFibGVkXHUwMDIyOmZhbHNlLFx1MDAyMkZvb3Rlclx1MDAyMjpcdTAwMjJcdTAwMjIsXHUwMDIyRm9vdGVyc1x1MDAyMjpbXHUwMDIyXHUwMDIyXSxcdTAwMjJGb290ZXJUeXBlXHUwMDIyOjIsXHUwMDIyRm9vdGVyVHlwZXNBbGxvd2VkXHUwMDIyOlsyXSxc</vt:lpwstr>
  </property>
  <property fmtid="{D5CDD617-2E9C-101B-9397-08002B2CF9AE}" pid="9" name="GVData6">
    <vt:lpwstr>MDY0QSlcdTAwM0Mvc3Bhblx1MDAzRVx1MDAzQy9zcGFuXHUwMDNFXHUwMDIyXSxcdTAwMjJIZWFkZXJUeXBlXHUwMDIyOjAsXHUwMDIySGVhZGVyVHlwZXNBbGxvd2VkXHUwMDIyOlswLDFdLFx1MDAyMkhlYWRlclVwZGF0ZVR5cGVcdTAwMjI6MSxcdTAwMjJGb290</vt:lpwstr>
  </property>
  <property fmtid="{D5CDD617-2E9C-101B-9397-08002B2CF9AE}" pid="10" name="GVData5">
    <vt:lpwstr>dTAwMjJcdTAwM0NzcGFuIHN0eWxlPVxcXHUwMDIyY77sb3I6IzhCODAwMDtcXFx1MDAyMlx1MDAzRVx1MDAzQ3NwYW5cdTAwM0VDb25maWRlbnRpYWwgRXh0ZXJuYWwgLSBcdTA2NDVcdTA2NDJcdTA2NEFcdTA2MkYgKFx1MDYyRVx1MDYyN1x1MDYzMVx1MDYyQ1x1</vt:lpwstr>
  </property>
  <property fmtid="{D5CDD617-2E9C-101B-9397-08002B2CF9AE}" pid="11" name="GVData4">
    <vt:lpwstr>XHUwMDNFQ77uZmlkZW98aWFsIEV4dGVybmFsIC0gXHUwNjQ1XHUwNjQyXHUwNjRBXHUwNjJGIChcdTA2MkVcdTA2MjdcdTA2MzFcdTA2MkNcdTA2NEEpXHUwMDNDL3NwYW5cdTAwM0VcdTAwM0Mvc3Bhblx1MDAzRVx1MDAyMixcdTAwMjJIZWFkZXJzXHUwMDIyOltc</vt:lpwstr>
  </property>
  <property fmtid="{D5CDD617-2E9C-101B-9397-08002B2CF9AE}" pid="12" name="GVData3">
    <vt:lpwstr>XHUwMDIyT3ZlcndyaXRlT3B0aW9uXHUwMDIyOjB9LFx1MDAyMkhlYWRlckVuYWJsZWRcdTAwMjI6dHJ1ZSxcdTAwMjJIZWFkZXJcdTAwMjI6XHUwMDIyXHUwMDNDc3BhbiBzdHlsZT1cXFx1MDAyMmNvbG9yOiM4QjgwMDA7XFxcdTAwMjJcdTAwM0VcdTAwM0NzcGFu</vt:lpwstr>
  </property>
  <property fmtid="{D5CDD617-2E9C-101B-9397-08002B2CF9AE}" pid="13" name="GVData2">
    <vt:lpwstr>MDIyOnRydWUsXHUwMDIyTGF5b3V0T3B0aW9uXHUwMDIyOjAsXHUwMDIyVHJpZ2dlck51bWJlclx1MDAyMjowLFx1MDAyMkZyb21JbmRleFx1MDAyMjowLFx1MDAyMlRvSW5kZXhcdTAwMjI6MCxcdTAwMjJFbmZvcmNlT3ZlcndyaXRlT3B0aW9uXHUwMDIyOnRydWUs</vt:lpwstr>
  </property>
  <property fmtid="{D5CDD617-2E9C-101B-9397-08002B2CF9AE}" pid="14" name="GVData1">
    <vt:lpwstr>dTAwMjI6ZmFsc2UsXHUwMDIyRW5mb3JjZUhlYWRlckZvb3RlclR5cGVcdTAwMjI6ZmFsc2UsXHUwMDIySGVhZGVyUGxhY2VtZW98VHlwZVx1MDAyMjowLFx1MDAyMkZvb3RlclBsYWNlbWVudFR5cGVcdTAwMjI6MCxcdTAwMjJFbmZvcmNlTGF5b3V0T3B0aW9uXHUw</vt:lpwstr>
  </property>
  <property fmtid="{D5CDD617-2E9C-101B-9397-08002B2CF9AE}" pid="15" name="ComplianceTagSetId">
    <vt:lpwstr>f14fc1f1-8950-40d5-8a29-45909da947d6</vt:lpwstr>
  </property>
  <property fmtid="{D5CDD617-2E9C-101B-9397-08002B2CF9AE}" pid="16" name="GVData9">
    <vt:lpwstr>dGVUeXBlXHUwMDIyOjAsXHUwMDIyUG205ZXJwb2ludFRpdGxlXHUwMDIyOm51bGwsXHUwMDIyUG205ZXJwb2ludFN1Yml0bGVcdTAwMjI6bnVsbH0iLA0KICAiU3RhdGUiOiAie1x1MDAyMkZpcnN0UGFnZURpZmZlcmVudFx1MDAyMjpmYWxzZSxcdTAwMjJEaWZmZXJl</vt:lpwstr>
  </property>
  <property fmtid="{D5CDD617-2E9C-101B-9397-08002B2CF9AE}" pid="17" name="TagDateTime">
    <vt:lpwstr>2026-08-24T6:58:56Z</vt:lpwstr>
  </property>
  <property fmtid="{D5CDD617-2E9C-101B-9397-08002B2CF9AE}" pid="18" name="ClassificationHash">
    <vt:lpwstr>073665fa-e4f2-f3fd-282e-c7919988200f</vt:lpwstr>
  </property>
  <property fmtid="{D5CDD617-2E9C-101B-9397-08002B2CF9AE}" pid="19" name="Header">
    <vt:lpwstr>{"Left":"","Center":"Confidential External - مقيد (خارجي)","Right":""}</vt:lpwstr>
  </property>
  <property fmtid="{D5CDD617-2E9C-101B-9397-08002B2CF9AE}" pid="20" name="UserId">
    <vt:lpwstr>LOCAL SERVICE</vt:lpwstr>
  </property>
  <property fmtid="{D5CDD617-2E9C-101B-9397-08002B2CF9AE}" pid="21" name="Distribution">
    <vt:lpwstr>خارجي / External</vt:lpwstr>
  </property>
  <property fmtid="{D5CDD617-2E9C-101B-9397-08002B2CF9AE}" pid="22" name="GVData11">
    <vt:lpwstr>XFx1MDAyMkNvbmZpZGVudGlhbCBFeHRlcm5hbCAtIFx1MDY0NVx1MDY0Mlx1MDY0QVx1MDYyRiAoXHUwNjJFXHUwNjI3XHUwNjMxXHUwNjJDXHUwNjRBKVxcXHUwMDIyLFxcXHUwMDIyUmlnaHRcXFx1MDAyMjpcXFx1MDAyMlxcXHUwMDIyfVx1MDAyMixcdTAwMjJU</vt:lpwstr>
  </property>
  <property fmtid="{D5CDD617-2E9C-101B-9397-08002B2CF9AE}" pid="23" name="GVData10">
    <vt:lpwstr>bnRPZGRBbmRFdmVuUGFnZXNcdTAwMjI6ZmFsc2UsXHUwMDIyUGFnZUNvdW98XHUwMDIyOjQsXHUwMDIySGVhZGVyTWV0YWRhdGFcdTAwMjI6XHUwMDIye1xcXHUwMDIyTGVmdFxcXHUwMDIyOlxcXHUwMDIyXFxcdTAwMjIsXFxcdTAwMjJDZW98ZXJcXFx1MDAyMjpc</vt:lpwstr>
  </property>
  <property fmtid="{D5CDD617-2E9C-101B-9397-08002B2CF9AE}" pid="24" name="FileId">
    <vt:lpwstr>01232713-e91b-4584-8c4c-7fe8e3dbba55</vt:lpwstr>
  </property>
  <property fmtid="{D5CDD617-2E9C-101B-9397-08002B2CF9AE}" pid="25" name="GVData13">
    <vt:lpwstr>XHUwMDIyTm9uR1ZIZWFkZXJTaGFwZUV4aXN0c1x1MDAyMjpmYWxzZSxcdTAwMjJUaGlyZFBhcnR5SGVhZGVyc1x1MDAyMjpbXSxcdTAwMjJGb290ZXJNZXRhZGF0YVx1MDAyMjpcdTAwMjJcdTAwMjIsXHUwMDIyVGhpcmRQYXJ0eUZvb3Rlck1ldGFkYXRhXHUwMDIy</vt:lpwstr>
  </property>
  <property fmtid="{D5CDD617-2E9C-101B-9397-08002B2CF9AE}" pid="26" name="GVData12">
    <vt:lpwstr>aGlyZFBhcnR5SGVhZGVyTWV0YWRhdGFcdTAwMjI6XHUwMDIyXHUwMDIyLFx1MDAyMkdWSGVhZGVyRXhpc3RzXHUwMDIyOnRydWUsXHUwMDIyTm9uR1ZIZWFkZXJFeGlzdHNcdTAwMjI6ZmFsc2UsXHUwMDIyRmxvYXRpbmdIZWFkZXJFeGlzdHNcdTAwMjI6ZmFsc2Us</vt:lpwstr>
  </property>
  <property fmtid="{D5CDD617-2E9C-101B-9397-08002B2CF9AE}" pid="27" name="GVData15">
    <vt:lpwstr>XHUwMDIyOmZhbHNlLFx1MDAyMlRoaXJkUGFydHlGb290ZXJzXHUwMDIyOltdLFx1MDAyMldhdGVybWFya01ldGFkYXRhXHUwMDIyOlx1MDAyMlx1MDAyMixcdTAwMjJXYXRlcm1hcmtFeGlzdHNcdTAwMjI6ZmFsc2UsXHUwMDIyUG205ZXJwb2ludFRpdGxlTWV0YWRh</vt:lpwstr>
  </property>
  <property fmtid="{D5CDD617-2E9C-101B-9397-08002B2CF9AE}" pid="28" name="GVData">
    <vt:lpwstr>ew0KICAidGFnc2V0XzAwNGRlYTMzXzg3NTFfNDM5OV9hNzZlXzk1ZjM3MWNiNDExOV9kaXN0cmlidXRpb24iOiAiRXh0ZXJuYWwiLA0KICAidGFnc2V0X2UxNjQwOWE3XzE3MDBfNDE1M297MDkwXzM5NTViYzJmMGFlOF9jbGFzc2lmaWNhdGlvbiI6ICJDb25maWRl</vt:lpwstr>
  </property>
  <property fmtid="{D5CDD617-2E9C-101B-9397-08002B2CF9AE}" pid="29" name="GVData14">
    <vt:lpwstr>Olx1MDAyMlx1MDAyMixcdTAwMjJHVkZvb3RlckV4aXN0c1x1MDAyMjpmYWxzZSxcdTAwMjJOb25HVkZvb3RlckV4aXN0c1x1MDAyMjpmYWxzZSxcdTAwMjJGbG9hdGluZ0Zvb3RlckV4aXN0c1x1MDAyMjpmYWxzZSxcdTAwMjJOb25HVkZvb3RlclNoYXBlRXhpc3Rz</vt:lpwstr>
  </property>
  <property fmtid="{D5CDD617-2E9C-101B-9397-08002B2CF9AE}" pid="30" name="ICV">
    <vt:lpwstr>01c0b70774aa4035bb98f06ee06f336f</vt:lpwstr>
  </property>
  <property fmtid="{D5CDD617-2E9C-101B-9397-08002B2CF9AE}" pid="31" name="GVData17">
    <vt:lpwstr>(end)</vt:lpwstr>
  </property>
  <property fmtid="{D5CDD617-2E9C-101B-9397-08002B2CF9AE}" pid="32" name="GVData16">
    <vt:lpwstr>dGFcdTAwMjI6bnVsbCxcdTAwMjJQb3dlcnBvaW98U3VidGl0bGVNZXRhZGF0YVx1MDAyMjpudWxsLFx1MDAyMlRoaXJkUGFydHlNZXRhZGF0YUZvdW5kXHUwMDIyOmZhbHNlfSINCn0=</vt:lpwstr>
  </property>
</Properties>
</file>