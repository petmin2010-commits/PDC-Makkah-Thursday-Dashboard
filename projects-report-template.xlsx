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edia\Desktop\تقرير الهدي 2\"/>
    </mc:Choice>
  </mc:AlternateContent>
  <xr:revisionPtr revIDLastSave="0" documentId="13_ncr:1_{63D23D94-1D09-4536-9891-1AC66A27EB6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تقرير المشروع" sheetId="1" r:id="rId1"/>
    <sheet name="سجل الإنجاز اليومي" sheetId="2" r:id="rId2"/>
    <sheet name="صور التنفيذ بالموقع" sheetId="3" r:id="rId3"/>
    <sheet name="القوائم" sheetId="4" r:id="rId4"/>
  </sheets>
  <definedNames>
    <definedName name="_xlnm._FilterDatabase" localSheetId="0" hidden="1">'تقرير المشروع'!$A$38:$K$72</definedName>
    <definedName name="_xlnm.Print_Area" localSheetId="0">'تقرير المشروع'!$A$1:$I$100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1" l="1"/>
  <c r="I39" i="1"/>
  <c r="I40" i="1"/>
  <c r="I41" i="1"/>
  <c r="H15" i="1"/>
  <c r="H16" i="1"/>
  <c r="H17" i="1"/>
  <c r="E35" i="1"/>
  <c r="F35" i="1"/>
  <c r="E34" i="1"/>
  <c r="F34" i="1"/>
  <c r="E33" i="1"/>
  <c r="F33" i="1"/>
  <c r="E32" i="1"/>
  <c r="F32" i="1"/>
  <c r="E31" i="1"/>
  <c r="F31" i="1"/>
  <c r="F26" i="1"/>
  <c r="F27" i="1"/>
  <c r="F28" i="1"/>
  <c r="F29" i="1"/>
  <c r="E26" i="1"/>
  <c r="E27" i="1"/>
  <c r="E28" i="1"/>
  <c r="E29" i="1"/>
  <c r="G70" i="1" l="1"/>
  <c r="G17" i="1"/>
  <c r="G16" i="1"/>
  <c r="G15" i="1"/>
  <c r="F14" i="1" l="1"/>
  <c r="I58" i="1"/>
  <c r="I59" i="1"/>
  <c r="I60" i="1"/>
  <c r="I61" i="1"/>
  <c r="I62" i="1"/>
  <c r="I63" i="1"/>
  <c r="I64" i="1"/>
  <c r="I65" i="1"/>
  <c r="I66" i="1"/>
  <c r="I67" i="1"/>
  <c r="I68" i="1"/>
  <c r="I69" i="1"/>
  <c r="I57" i="1"/>
  <c r="H70" i="1"/>
  <c r="H74" i="1"/>
  <c r="H75" i="1"/>
  <c r="I70" i="1" l="1"/>
  <c r="I50" i="1"/>
  <c r="I51" i="1"/>
  <c r="I52" i="1"/>
  <c r="I53" i="1"/>
  <c r="I54" i="1"/>
  <c r="I55" i="1"/>
  <c r="I56" i="1"/>
  <c r="I42" i="1"/>
  <c r="I43" i="1"/>
  <c r="I44" i="1"/>
  <c r="I45" i="1"/>
  <c r="I46" i="1"/>
  <c r="I47" i="1"/>
  <c r="I48" i="1"/>
  <c r="I49" i="1"/>
  <c r="F13" i="1"/>
  <c r="G14" i="1" l="1"/>
  <c r="H14" i="1" s="1"/>
  <c r="K14" i="1" s="1"/>
  <c r="H77" i="1" l="1"/>
  <c r="H76" i="1"/>
  <c r="F36" i="1"/>
  <c r="E36" i="1"/>
  <c r="F30" i="1"/>
  <c r="E30" i="1"/>
  <c r="F25" i="1"/>
  <c r="E25" i="1"/>
  <c r="F24" i="1"/>
  <c r="E24" i="1"/>
  <c r="F23" i="1"/>
  <c r="E23" i="1"/>
  <c r="F22" i="1"/>
  <c r="E22" i="1"/>
  <c r="F21" i="1"/>
  <c r="E21" i="1"/>
  <c r="E18" i="1"/>
  <c r="D18" i="1"/>
  <c r="C18" i="1"/>
  <c r="K17" i="1"/>
  <c r="F17" i="1"/>
  <c r="K16" i="1"/>
  <c r="F16" i="1"/>
  <c r="K15" i="1"/>
  <c r="F15" i="1"/>
  <c r="G13" i="1"/>
  <c r="H13" i="1" s="1"/>
  <c r="H7" i="1"/>
  <c r="K13" i="1" l="1"/>
  <c r="A10" i="1" s="1"/>
  <c r="H18" i="1"/>
  <c r="I18" i="1" s="1"/>
  <c r="F18" i="1"/>
  <c r="H10" i="1" l="1"/>
  <c r="E10" i="1"/>
  <c r="G18" i="1"/>
</calcChain>
</file>

<file path=xl/sharedStrings.xml><?xml version="1.0" encoding="utf-8"?>
<sst xmlns="http://schemas.openxmlformats.org/spreadsheetml/2006/main" count="339" uniqueCount="195">
  <si>
    <t>قطاع مشاريع التوزيع  —  الشركة السعودية للكهرباء
إدارة مشاريع التوزيع (PDC)</t>
  </si>
  <si>
    <t>التقرير الدوري لمتابعة تنفيذ المشروع</t>
  </si>
  <si>
    <t>رقم المقايسة / أمر العمل</t>
  </si>
  <si>
    <t>نوع التقرير</t>
  </si>
  <si>
    <t>يومي</t>
  </si>
  <si>
    <t>تاريخ التقرير</t>
  </si>
  <si>
    <t>رقم التقرير</t>
  </si>
  <si>
    <t>اسم المشروع</t>
  </si>
  <si>
    <t>الموقع / المنطقة</t>
  </si>
  <si>
    <t>وصف العمل</t>
  </si>
  <si>
    <t>المقاول</t>
  </si>
  <si>
    <t>الاستشاري</t>
  </si>
  <si>
    <t>مهندس المتابعة (SEC)</t>
  </si>
  <si>
    <t>تاريخ بدء التنفيذ</t>
  </si>
  <si>
    <t>تاريخ التشغيل المتوقع</t>
  </si>
  <si>
    <t>المدة التعاقدية (يوم)</t>
  </si>
  <si>
    <t>المتبقي على التشغيل (يوم)</t>
  </si>
  <si>
    <t>◄ أولاً: مؤشرات أداء المشروع</t>
  </si>
  <si>
    <t>نسبة الإنجاز الكلية</t>
  </si>
  <si>
    <t>نسبة الإنجاز المخططة</t>
  </si>
  <si>
    <t>الانحراف</t>
  </si>
  <si>
    <t>حالة المشروع</t>
  </si>
  <si>
    <t>إنجاز الفترة</t>
  </si>
  <si>
    <t>المعدل اليومي المطلوب</t>
  </si>
  <si>
    <t>◄ ثانياً: الكميات ونسب التنفيذ</t>
  </si>
  <si>
    <t>البند</t>
  </si>
  <si>
    <t>الوحدة</t>
  </si>
  <si>
    <t>الكمية المخططة</t>
  </si>
  <si>
    <t>إجمالي المنفذ</t>
  </si>
  <si>
    <t>المنفذ خلال الفترة</t>
  </si>
  <si>
    <t>المتبقي</t>
  </si>
  <si>
    <t>نسبة الإنجاز</t>
  </si>
  <si>
    <t>الوزن %</t>
  </si>
  <si>
    <t>الحالة</t>
  </si>
  <si>
    <t>M</t>
  </si>
  <si>
    <t>متقدم</t>
  </si>
  <si>
    <t>EA</t>
  </si>
  <si>
    <t>حسب المخطط</t>
  </si>
  <si>
    <t>KIT</t>
  </si>
  <si>
    <t>الإجمالي / المتوسط المرجّح</t>
  </si>
  <si>
    <t>◄ ثالثاً: المواد (المطلوب / المنصرف / المتبقي)</t>
  </si>
  <si>
    <t>المادة</t>
  </si>
  <si>
    <t>الكمية المطلوبة</t>
  </si>
  <si>
    <t>المنصرف</t>
  </si>
  <si>
    <t>نسبة الصرف</t>
  </si>
  <si>
    <t>حالة الصرف</t>
  </si>
  <si>
    <t>ملاحظات</t>
  </si>
  <si>
    <t>تم الصرف جزئي</t>
  </si>
  <si>
    <t>لم يتم الصرف</t>
  </si>
  <si>
    <t>LS</t>
  </si>
  <si>
    <t>تم الصرف بالكامل</t>
  </si>
  <si>
    <t>◄ رابعاً: التصاريح والرخص</t>
  </si>
  <si>
    <t>رقم التصريح</t>
  </si>
  <si>
    <t>الجهة المصدرة</t>
  </si>
  <si>
    <t>الموقع / الحي</t>
  </si>
  <si>
    <t>حالة التصريح</t>
  </si>
  <si>
    <t>تاريخ البدء</t>
  </si>
  <si>
    <t>تاريخ الانتهاء</t>
  </si>
  <si>
    <t>الطول (م)</t>
  </si>
  <si>
    <t>المنجز (م)</t>
  </si>
  <si>
    <t>تم الإصدار</t>
  </si>
  <si>
    <t>إجمالي التصاريح</t>
  </si>
  <si>
    <t>◄ خامساً: أبرز التحديات والعوائق وحالة كل تحدي</t>
  </si>
  <si>
    <t>التحدي / العائق</t>
  </si>
  <si>
    <t>التصنيف</t>
  </si>
  <si>
    <t>درجة الأثر</t>
  </si>
  <si>
    <t>الإجراء المتخذ</t>
  </si>
  <si>
    <t>الجهة المسؤولة</t>
  </si>
  <si>
    <t>تاريخ الرصد</t>
  </si>
  <si>
    <t>عمر العائق (يوم)</t>
  </si>
  <si>
    <t>مواد</t>
  </si>
  <si>
    <t>عالي</t>
  </si>
  <si>
    <t>قيد المتابعة</t>
  </si>
  <si>
    <t>تنسيق جهات</t>
  </si>
  <si>
    <t>قيد التحديث</t>
  </si>
  <si>
    <t>أعمال مدنية/تربة</t>
  </si>
  <si>
    <t>متوسط</t>
  </si>
  <si>
    <t>قيد التنفيذ</t>
  </si>
  <si>
    <t>◄ سادساً: ملخص المنفذ خلال الفترة</t>
  </si>
  <si>
    <t>◄ سابعاً: ملاحظات وتنبيهات / الإجراءات المطلوبة والدعم المطلوب من الإدارة</t>
  </si>
  <si>
    <t>◄ ثامناً: الرسوم البيانية</t>
  </si>
  <si>
    <t>معد التقرير (الاستشاري / مهندس المتابعة)</t>
  </si>
  <si>
    <t>مراجعة: رئيس القسم</t>
  </si>
  <si>
    <t>سجل الإنجاز اليومي / الأسبوعي للمشروع</t>
  </si>
  <si>
    <t>التاريخ</t>
  </si>
  <si>
    <t>نسبة الإنجاز الكلية %</t>
  </si>
  <si>
    <t>المنفذ خلال اليوم (كمية)</t>
  </si>
  <si>
    <t>المستهدف اليومي (كمية)</t>
  </si>
  <si>
    <t>ملخص الأعمال المنفذة</t>
  </si>
  <si>
    <t>معد التقرير</t>
  </si>
  <si>
    <t>صور التنفيذ بالموقع  (تُلصق الصور داخل الإطارات — يشترط أن تحتوي الصورة على التاريخ والإحداثيات)</t>
  </si>
  <si>
    <t>حالة البند</t>
  </si>
  <si>
    <t>حالة العائق</t>
  </si>
  <si>
    <t>حالة صرف المواد</t>
  </si>
  <si>
    <t>تصنيف العائق</t>
  </si>
  <si>
    <t>قيد التنسيق والاعتماد</t>
  </si>
  <si>
    <t>أسبوعي</t>
  </si>
  <si>
    <t>تصاريح</t>
  </si>
  <si>
    <t>متأخر</t>
  </si>
  <si>
    <t>مسودة تصريح</t>
  </si>
  <si>
    <t>منخفض</t>
  </si>
  <si>
    <t>تحت المتابعة</t>
  </si>
  <si>
    <t>قيد الطلب</t>
  </si>
  <si>
    <t>منتهي</t>
  </si>
  <si>
    <t>تصميم</t>
  </si>
  <si>
    <t>مكتمل</t>
  </si>
  <si>
    <t>قيد التحقق</t>
  </si>
  <si>
    <t>مرفوض</t>
  </si>
  <si>
    <t>KM</t>
  </si>
  <si>
    <t>لم يبدأ</t>
  </si>
  <si>
    <t>قيد التنسيق</t>
  </si>
  <si>
    <t>عمالة/معدات</t>
  </si>
  <si>
    <t>NO</t>
  </si>
  <si>
    <t>جاري</t>
  </si>
  <si>
    <t>تم الحل</t>
  </si>
  <si>
    <t>سلامة</t>
  </si>
  <si>
    <t>أخرى</t>
  </si>
  <si>
    <t>تعليمات الاستخدام:</t>
  </si>
  <si>
    <t>1) هذا الملف يمثل «تقرير مشروع واحد». يُنسخ الملف لكل مشروع ويُسمّى برقم المقايسة/أمر العمل.</t>
  </si>
  <si>
    <t>2) الخلايا الزرقاء = إدخال يدوي، والخلايا السوداء = صيغ محسوبة تلقائياً (لا تُعدّل).</t>
  </si>
  <si>
    <t>3) عبّئ «الكمية المخططة» و«إجمالي المنفذ» و«المنفذ خلال الفترة» و«الوزن %» لكل بند — وتُحسب النسب والإجماليات آلياً.</t>
  </si>
  <si>
    <t>4) مجموع الأوزان لكل البنود يجب أن يساوي 100% (تظهر إشارة تنبيه بجانب صف الإجمالي إذا اختلّ المجموع).</t>
  </si>
  <si>
    <t>5) نسبة الإنجاز الكلية = مجموع (وزن البند × نسبة إنجاز البند)، وتُحدَّث تلقائياً مع كل تحديث للكميات.</t>
  </si>
  <si>
    <t>6) للتقرير اليومي: غيّر «نوع التقرير» و«تاريخ التقرير»، وحدّث «المنفذ خلال الفترة»، ثم أضف سطراً في ورقة «سجل الإنجاز اليومي».</t>
  </si>
  <si>
    <t>7) للتقرير الأسبوعي: نفس الخطوات مع جعل «المنفذ خلال الفترة» = منفذ الأسبوع كاملاً.</t>
  </si>
  <si>
    <t>8) ورقة «تقرير المشروع» مُعدّة للطباعة على صفحة A4 واحدة (Ctrl+P) أو التصدير PDF لإرسالها للإدارة.</t>
  </si>
  <si>
    <t>9) تُلصق صور الموقع في ورقة «صور التنفيذ بالموقع» على أن تتضمن التاريخ والإحداثيات كما في النماذج المعتمدة.</t>
  </si>
  <si>
    <t>اعتماد: مدير الدائرة/ الإدارة</t>
  </si>
  <si>
    <t xml:space="preserve">تمديد كابلات 3*500 </t>
  </si>
  <si>
    <t>حفرجهد متوسط</t>
  </si>
  <si>
    <t>كيبل 3*500</t>
  </si>
  <si>
    <t>امانة العاصمة</t>
  </si>
  <si>
    <t>شركة الشعاع الصاعد للمقاولات</t>
  </si>
  <si>
    <t>شركة أبعاد الرؤية للاستشارات الهندسية</t>
  </si>
  <si>
    <t>الحمراء</t>
  </si>
  <si>
    <t>الحمراء، أم الجود</t>
  </si>
  <si>
    <t>أم الجود</t>
  </si>
  <si>
    <t>الحمراء، ام الجود</t>
  </si>
  <si>
    <t xml:space="preserve">م.محمد ربيع محمود علي </t>
  </si>
  <si>
    <t xml:space="preserve">ربط إلحاقي محطة تحويل الهدى </t>
  </si>
  <si>
    <t xml:space="preserve">م.عبد الله اللهيبي </t>
  </si>
  <si>
    <t>إعادة سفلتة حفريات مسار الكابلات في الشوارع الرئيسية / الفرعية</t>
  </si>
  <si>
    <t>SWGR,SMART,RMMU</t>
  </si>
  <si>
    <t>TFMR,U/S,1MVA,13.8KV,400/230V,8CK,6MCCB</t>
  </si>
  <si>
    <t>JOINT KIT,TRANS,PM,15KV,300-500/35MM2,BM</t>
  </si>
  <si>
    <t>CONN,ELEC,EL,DB</t>
  </si>
  <si>
    <t>SWGR,SMART,RMMU OD,3LBS+1CB,13.8 K</t>
  </si>
  <si>
    <t xml:space="preserve"> JOINT KIT,STR,PM,15KV,3X500/35MM2,AL,AR</t>
  </si>
  <si>
    <t>TERM KIT,STR,PM,15KV,3X500/35MM2,AL,I/D</t>
  </si>
  <si>
    <t xml:space="preserve">CABLE,PWR,15KV,CU,1C,50/16MM2,XLPLE,UARM </t>
  </si>
  <si>
    <t xml:space="preserve"> M</t>
  </si>
  <si>
    <t xml:space="preserve">ELBOW,EC,15KV,400A,1X50/16MM2 </t>
  </si>
  <si>
    <t>ELBOW,EC,15KV,400A,3X300/35MM2, CU</t>
  </si>
  <si>
    <t>TERM KIT,STR,1KV,4X300MM2,AL</t>
  </si>
  <si>
    <t>JOINT KIT,STR,1KV,4X300MM2,AL,UAR</t>
  </si>
  <si>
    <t>ELBOW,EC,15KV,400A,3X185/35MM2</t>
  </si>
  <si>
    <t>CABLE,PWR,600V/1KV,AL,4C,300MM2,XLPE</t>
  </si>
  <si>
    <t>استبدال وحدة حلقية رئيسية</t>
  </si>
  <si>
    <t xml:space="preserve">استبدال محطة مدمجة </t>
  </si>
  <si>
    <t>M2</t>
  </si>
  <si>
    <t xml:space="preserve">أم الجود </t>
  </si>
  <si>
    <t>حفر + تمديد</t>
  </si>
  <si>
    <t>480325844458مرحلة 1</t>
  </si>
  <si>
    <t>480325844531مرحلة 2</t>
  </si>
  <si>
    <t>48277644601مرحلة 3</t>
  </si>
  <si>
    <t>48278004771مرحلة 3</t>
  </si>
  <si>
    <t>480325845159مرحلة 4</t>
  </si>
  <si>
    <t>48277645381مرحلة 5</t>
  </si>
  <si>
    <t>480426012688مرحلة 5</t>
  </si>
  <si>
    <t>48277645647مرحلة 6</t>
  </si>
  <si>
    <t>480426012901مرحلة 6</t>
  </si>
  <si>
    <t>48277646167مرحلة 7</t>
  </si>
  <si>
    <t>480426012972مرحلة 7</t>
  </si>
  <si>
    <t>480325845714مرحلة 8</t>
  </si>
  <si>
    <t>480325845904مرحلة 9</t>
  </si>
  <si>
    <t>48277647764مرحلة 10</t>
  </si>
  <si>
    <t>480426011862مرحلة 10</t>
  </si>
  <si>
    <t>48277647932مرحلة 11</t>
  </si>
  <si>
    <t>480426012569مرحلة 11</t>
  </si>
  <si>
    <t>480325846697مرحلة 12</t>
  </si>
  <si>
    <t>480325846728مرحلة 13</t>
  </si>
  <si>
    <t>480325846757مرحلة 14</t>
  </si>
  <si>
    <t>480325847058مرحلة 15</t>
  </si>
  <si>
    <t>480325847067مرحلة 16</t>
  </si>
  <si>
    <t>480325847164مرحلة 17</t>
  </si>
  <si>
    <t>480325847199مرحلة 18</t>
  </si>
  <si>
    <t>480426013123مرحلة 19</t>
  </si>
  <si>
    <t>480426013351مرحلة 20</t>
  </si>
  <si>
    <t>480426013403مرحلة 21</t>
  </si>
  <si>
    <t>480426013572مرحلة 22</t>
  </si>
  <si>
    <t>480426013650مرحلة 23</t>
  </si>
  <si>
    <t>اعمال حفر / ام الجود 5.10.2026</t>
  </si>
  <si>
    <t>اعمال تمديد / ام الجود 5.10.2026</t>
  </si>
  <si>
    <t>اعمال دفان / ام الجود 5.10.2026</t>
  </si>
  <si>
    <t xml:space="preserve">تمديد عدد 9 كابلات جهد متوسط  من محطة الهدى  بإجمالي أطوال كابلات 51390 متر طولي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</si>
</sst>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%"/>
  </numFmts>
  <fonts count="28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1F3864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FFFFFF"/>
      <name val="Arial"/>
      <family val="2"/>
    </font>
    <font>
      <b/>
      <sz val="20"/>
      <color rgb="FF148C7C"/>
      <name val="Arial"/>
      <family val="2"/>
    </font>
    <font>
      <b/>
      <sz val="14"/>
      <color rgb="FF0000FF"/>
      <name val="Arial"/>
      <family val="2"/>
    </font>
    <font>
      <b/>
      <sz val="13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b/>
      <sz val="10"/>
      <color rgb="FF148C7C"/>
      <name val="Arial"/>
      <family val="2"/>
    </font>
    <font>
      <b/>
      <sz val="9"/>
      <color rgb="FF000000"/>
      <name val="Arial"/>
      <family val="2"/>
    </font>
    <font>
      <sz val="9"/>
      <color rgb="FF0000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8"/>
      <name val="Calibri"/>
      <family val="2"/>
      <charset val="1"/>
    </font>
    <font>
      <b/>
      <sz val="22"/>
      <color rgb="FF0000FF"/>
      <name val="Arial"/>
      <family val="2"/>
    </font>
    <font>
      <b/>
      <sz val="20"/>
      <color rgb="FF0000FF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148C7C"/>
        <bgColor rgb="FF008080"/>
      </patternFill>
    </fill>
    <fill>
      <patternFill patternType="solid">
        <fgColor rgb="FFEAF1F8"/>
        <bgColor rgb="FFE6F4F1"/>
      </patternFill>
    </fill>
    <fill>
      <patternFill patternType="solid">
        <fgColor rgb="FFFFFFFF"/>
        <bgColor rgb="FFFFFDF0"/>
      </patternFill>
    </fill>
    <fill>
      <patternFill patternType="solid">
        <fgColor rgb="FFFFF2CC"/>
        <bgColor rgb="FFF2F2F2"/>
      </patternFill>
    </fill>
    <fill>
      <patternFill patternType="solid">
        <fgColor rgb="FFE6F4F1"/>
        <bgColor rgb="FFEAF1F8"/>
      </patternFill>
    </fill>
    <fill>
      <patternFill patternType="solid">
        <fgColor rgb="FFF2F2F2"/>
        <bgColor rgb="FFEAF1F8"/>
      </patternFill>
    </fill>
    <fill>
      <patternFill patternType="solid">
        <fgColor rgb="FFC00000"/>
        <bgColor rgb="FF800000"/>
      </patternFill>
    </fill>
    <fill>
      <patternFill patternType="solid">
        <fgColor rgb="FFFFFDF0"/>
        <bgColor rgb="FFFFFFFF"/>
      </patternFill>
    </fill>
    <fill>
      <patternFill patternType="solid">
        <fgColor rgb="FFFFFF00"/>
        <bgColor rgb="FFFFFDF0"/>
      </patternFill>
    </fill>
    <fill>
      <patternFill patternType="solid">
        <fgColor theme="0"/>
        <bgColor rgb="FFFFFDF0"/>
      </patternFill>
    </fill>
    <fill>
      <patternFill patternType="solid">
        <fgColor theme="0"/>
        <bgColor rgb="FFEAF1F8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48C7C"/>
      </left>
      <right style="medium">
        <color rgb="FF148C7C"/>
      </right>
      <top style="medium">
        <color rgb="FF148C7C"/>
      </top>
      <bottom style="medium">
        <color rgb="FF148C7C"/>
      </bottom>
      <diagonal/>
    </border>
    <border>
      <left style="medium">
        <color rgb="FF148C7C"/>
      </left>
      <right style="medium">
        <color rgb="FF148C7C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5" fontId="8" fillId="7" borderId="1" xfId="0" applyNumberFormat="1" applyFont="1" applyFill="1" applyBorder="1" applyAlignment="1">
      <alignment horizontal="center" vertical="center" wrapText="1"/>
    </xf>
    <xf numFmtId="165" fontId="10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right" vertical="center" wrapText="1"/>
    </xf>
    <xf numFmtId="0" fontId="13" fillId="5" borderId="1" xfId="0" applyFont="1" applyFill="1" applyBorder="1" applyAlignment="1">
      <alignment horizontal="center" vertical="center" wrapText="1"/>
    </xf>
    <xf numFmtId="3" fontId="13" fillId="5" borderId="1" xfId="0" applyNumberFormat="1" applyFont="1" applyFill="1" applyBorder="1" applyAlignment="1">
      <alignment horizontal="center" vertical="center" wrapText="1"/>
    </xf>
    <xf numFmtId="3" fontId="14" fillId="5" borderId="1" xfId="0" applyNumberFormat="1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 wrapText="1"/>
    </xf>
    <xf numFmtId="9" fontId="13" fillId="5" borderId="1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3" fillId="8" borderId="1" xfId="0" applyFont="1" applyFill="1" applyBorder="1" applyAlignment="1">
      <alignment horizontal="right" vertical="center" wrapText="1"/>
    </xf>
    <xf numFmtId="0" fontId="13" fillId="8" borderId="1" xfId="0" applyFont="1" applyFill="1" applyBorder="1" applyAlignment="1">
      <alignment horizontal="center" vertical="center" wrapText="1"/>
    </xf>
    <xf numFmtId="3" fontId="13" fillId="8" borderId="1" xfId="0" applyNumberFormat="1" applyFont="1" applyFill="1" applyBorder="1" applyAlignment="1">
      <alignment horizontal="center" vertical="center" wrapText="1"/>
    </xf>
    <xf numFmtId="3" fontId="14" fillId="8" borderId="1" xfId="0" applyNumberFormat="1" applyFont="1" applyFill="1" applyBorder="1" applyAlignment="1">
      <alignment horizontal="center" vertical="center" wrapText="1"/>
    </xf>
    <xf numFmtId="165" fontId="5" fillId="8" borderId="1" xfId="0" applyNumberFormat="1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165" fontId="16" fillId="7" borderId="1" xfId="0" applyNumberFormat="1" applyFont="1" applyFill="1" applyBorder="1" applyAlignment="1">
      <alignment horizontal="center" vertical="center" wrapText="1"/>
    </xf>
    <xf numFmtId="9" fontId="5" fillId="7" borderId="1" xfId="0" applyNumberFormat="1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164" fontId="13" fillId="5" borderId="1" xfId="0" applyNumberFormat="1" applyFont="1" applyFill="1" applyBorder="1" applyAlignment="1">
      <alignment horizontal="center" vertical="center" wrapText="1"/>
    </xf>
    <xf numFmtId="164" fontId="13" fillId="8" borderId="1" xfId="0" applyNumberFormat="1" applyFont="1" applyFill="1" applyBorder="1" applyAlignment="1">
      <alignment horizontal="center" vertical="center" wrapText="1"/>
    </xf>
    <xf numFmtId="165" fontId="5" fillId="7" borderId="1" xfId="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1" fontId="14" fillId="5" borderId="1" xfId="0" applyNumberFormat="1" applyFont="1" applyFill="1" applyBorder="1" applyAlignment="1">
      <alignment horizontal="center" vertical="center" wrapText="1"/>
    </xf>
    <xf numFmtId="1" fontId="1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0" borderId="1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right"/>
    </xf>
    <xf numFmtId="1" fontId="13" fillId="5" borderId="1" xfId="0" applyNumberFormat="1" applyFont="1" applyFill="1" applyBorder="1" applyAlignment="1">
      <alignment horizontal="center" vertical="center" wrapText="1"/>
    </xf>
    <xf numFmtId="165" fontId="21" fillId="0" borderId="1" xfId="0" applyNumberFormat="1" applyFont="1" applyBorder="1" applyAlignment="1">
      <alignment horizontal="center" vertical="center"/>
    </xf>
    <xf numFmtId="14" fontId="13" fillId="5" borderId="1" xfId="0" applyNumberFormat="1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3" fontId="25" fillId="5" borderId="1" xfId="0" applyNumberFormat="1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center" vertical="center" wrapText="1"/>
    </xf>
    <xf numFmtId="3" fontId="27" fillId="5" borderId="1" xfId="0" applyNumberFormat="1" applyFont="1" applyFill="1" applyBorder="1" applyAlignment="1">
      <alignment horizontal="center" vertical="center" wrapText="1"/>
    </xf>
    <xf numFmtId="3" fontId="26" fillId="8" borderId="1" xfId="0" applyNumberFormat="1" applyFont="1" applyFill="1" applyBorder="1" applyAlignment="1">
      <alignment horizontal="center" vertical="center" wrapText="1"/>
    </xf>
    <xf numFmtId="3" fontId="26" fillId="5" borderId="1" xfId="0" applyNumberFormat="1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3" fontId="5" fillId="11" borderId="1" xfId="0" applyNumberFormat="1" applyFont="1" applyFill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/>
    </xf>
    <xf numFmtId="0" fontId="13" fillId="5" borderId="1" xfId="0" applyFont="1" applyFill="1" applyBorder="1" applyAlignment="1">
      <alignment horizontal="right" vertical="center" wrapText="1"/>
    </xf>
    <xf numFmtId="0" fontId="13" fillId="8" borderId="1" xfId="0" applyFont="1" applyFill="1" applyBorder="1" applyAlignment="1">
      <alignment horizontal="right" vertical="center" wrapText="1"/>
    </xf>
    <xf numFmtId="0" fontId="13" fillId="8" borderId="1" xfId="0" applyNumberFormat="1" applyFont="1" applyFill="1" applyBorder="1" applyAlignment="1">
      <alignment horizontal="center" vertical="center" wrapText="1"/>
    </xf>
    <xf numFmtId="0" fontId="14" fillId="8" borderId="1" xfId="0" applyNumberFormat="1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vertical="center" wrapText="1"/>
    </xf>
    <xf numFmtId="165" fontId="4" fillId="8" borderId="1" xfId="0" applyNumberFormat="1" applyFont="1" applyFill="1" applyBorder="1" applyAlignment="1">
      <alignment horizontal="center" vertical="center" wrapText="1"/>
    </xf>
    <xf numFmtId="3" fontId="26" fillId="12" borderId="1" xfId="0" applyNumberFormat="1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right" vertical="center" wrapText="1"/>
    </xf>
    <xf numFmtId="0" fontId="13" fillId="12" borderId="1" xfId="0" applyFont="1" applyFill="1" applyBorder="1" applyAlignment="1">
      <alignment horizontal="center" vertical="center" wrapText="1"/>
    </xf>
    <xf numFmtId="3" fontId="26" fillId="13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indent="1"/>
    </xf>
    <xf numFmtId="0" fontId="3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right" vertical="center" wrapText="1"/>
    </xf>
    <xf numFmtId="0" fontId="13" fillId="5" borderId="1" xfId="0" applyFont="1" applyFill="1" applyBorder="1" applyAlignment="1">
      <alignment horizontal="right" vertical="center" wrapText="1"/>
    </xf>
    <xf numFmtId="0" fontId="7" fillId="9" borderId="1" xfId="0" applyFont="1" applyFill="1" applyBorder="1" applyAlignment="1">
      <alignment horizontal="right" vertical="center" indent="1"/>
    </xf>
    <xf numFmtId="0" fontId="12" fillId="9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0" fontId="9" fillId="6" borderId="1" xfId="0" applyNumberFormat="1" applyFont="1" applyFill="1" applyBorder="1" applyAlignment="1">
      <alignment horizontal="center" vertical="center" wrapText="1"/>
    </xf>
    <xf numFmtId="165" fontId="10" fillId="5" borderId="1" xfId="0" applyNumberFormat="1" applyFont="1" applyFill="1" applyBorder="1" applyAlignment="1">
      <alignment horizontal="center" vertical="center" wrapText="1"/>
    </xf>
    <xf numFmtId="10" fontId="10" fillId="5" borderId="1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3" fontId="6" fillId="5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right" vertical="center"/>
    </xf>
    <xf numFmtId="0" fontId="14" fillId="5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</cellXfs>
  <cellStyles count="1">
    <cellStyle name="Normal" xfId="0" builtinId="0"/>
  </cellStyles>
  <dxfs count="7">
    <dxf>
      <font>
        <b/>
        <color rgb="FF006100"/>
        <name val="Arial"/>
      </font>
      <fill>
        <patternFill>
          <bgColor rgb="FFC6EFCE"/>
        </patternFill>
      </fill>
    </dxf>
    <dxf>
      <font>
        <b/>
        <color rgb="FF9C6500"/>
        <name val="Arial"/>
      </font>
      <fill>
        <patternFill>
          <bgColor rgb="FFFFEB9C"/>
        </patternFill>
      </fill>
    </dxf>
    <dxf>
      <font>
        <b/>
        <color rgb="FF1F3864"/>
        <name val="Arial"/>
      </font>
      <fill>
        <patternFill>
          <bgColor rgb="FFDDEBF7"/>
        </patternFill>
      </fill>
    </dxf>
    <dxf>
      <font>
        <b/>
        <color rgb="FF006100"/>
        <name val="Arial"/>
      </font>
      <fill>
        <patternFill>
          <bgColor rgb="FFC6EFCE"/>
        </patternFill>
      </fill>
    </dxf>
    <dxf>
      <font>
        <b/>
        <color rgb="FFC00000"/>
        <name val="Arial"/>
      </font>
      <fill>
        <patternFill>
          <bgColor rgb="FFF8CBAD"/>
        </patternFill>
      </fill>
    </dxf>
    <dxf>
      <font>
        <b/>
        <sz val="11"/>
        <color rgb="FF006100"/>
        <name val="Arial"/>
      </font>
      <fill>
        <patternFill>
          <bgColor rgb="FFC6EFCE"/>
        </patternFill>
      </fill>
    </dxf>
    <dxf>
      <font>
        <b/>
        <sz val="11"/>
        <color rgb="FFC00000"/>
        <name val="Arial"/>
      </font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DF0"/>
      <rgbColor rgb="FFFF00FF"/>
      <rgbColor rgb="FF00FFFF"/>
      <rgbColor rgb="FF800000"/>
      <rgbColor rgb="FF006100"/>
      <rgbColor rgb="FF000080"/>
      <rgbColor rgb="FF9C6500"/>
      <rgbColor rgb="FF800080"/>
      <rgbColor rgb="FF148C7C"/>
      <rgbColor rgb="FFBFBFBF"/>
      <rgbColor rgb="FF878787"/>
      <rgbColor rgb="FF9999FF"/>
      <rgbColor rgb="FFC0504D"/>
      <rgbColor rgb="FFFFF2CC"/>
      <rgbColor rgb="FFE6F4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EB9C"/>
      <rgbColor rgb="FFEAF1F8"/>
      <rgbColor rgb="FFF2F2F2"/>
      <rgbColor rgb="FFF9F9F9"/>
      <rgbColor rgb="FFF8CBAD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مقارنة الكمية المخططة بإجمالي المنفذ لكل بند</a:t>
            </a:r>
          </a:p>
        </c:rich>
      </c:tx>
      <c:layout>
        <c:manualLayout>
          <c:xMode val="edge"/>
          <c:yMode val="edge"/>
          <c:x val="0.22954137354257889"/>
          <c:y val="2.9865335555857797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'تقرير المشروع'!$C$12</c:f>
              <c:strCache>
                <c:ptCount val="1"/>
                <c:pt idx="0">
                  <c:v>الكمية المخططة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'تقرير المشروع'!$A$13:$A$14</c:f>
              <c:strCache>
                <c:ptCount val="2"/>
                <c:pt idx="0">
                  <c:v>تمديد كابلات 3*500 </c:v>
                </c:pt>
                <c:pt idx="1">
                  <c:v>حفرجهد متوسط</c:v>
                </c:pt>
              </c:strCache>
            </c:strRef>
          </c:cat>
          <c:val>
            <c:numRef>
              <c:f>'تقرير المشروع'!$C$13:$C$14</c:f>
              <c:numCache>
                <c:formatCode>#,##0</c:formatCode>
                <c:ptCount val="2"/>
                <c:pt idx="0">
                  <c:v>51390</c:v>
                </c:pt>
                <c:pt idx="1">
                  <c:v>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C-4348-B8AA-5673560B18D5}"/>
            </c:ext>
          </c:extLst>
        </c:ser>
        <c:ser>
          <c:idx val="1"/>
          <c:order val="1"/>
          <c:tx>
            <c:strRef>
              <c:f>'تقرير المشروع'!$D$12</c:f>
              <c:strCache>
                <c:ptCount val="1"/>
                <c:pt idx="0">
                  <c:v>إجمالي المنفذ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'تقرير المشروع'!$A$13:$A$14</c:f>
              <c:strCache>
                <c:ptCount val="2"/>
                <c:pt idx="0">
                  <c:v>تمديد كابلات 3*500 </c:v>
                </c:pt>
                <c:pt idx="1">
                  <c:v>حفرجهد متوسط</c:v>
                </c:pt>
              </c:strCache>
            </c:strRef>
          </c:cat>
          <c:val>
            <c:numRef>
              <c:f>'تقرير المشروع'!$D$13:$D$14</c:f>
              <c:numCache>
                <c:formatCode>#,##0</c:formatCode>
                <c:ptCount val="2"/>
                <c:pt idx="0">
                  <c:v>2500</c:v>
                </c:pt>
                <c:pt idx="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7C-4348-B8AA-5673560B1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5961344"/>
        <c:axId val="125962880"/>
      </c:barChart>
      <c:catAx>
        <c:axId val="12596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5962880"/>
        <c:crosses val="autoZero"/>
        <c:auto val="1"/>
        <c:lblAlgn val="ctr"/>
        <c:lblOffset val="100"/>
        <c:noMultiLvlLbl val="0"/>
      </c:catAx>
      <c:valAx>
        <c:axId val="1259628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59613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منحنى تقدم الإنجاز التراكمي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'سجل الإنجاز اليومي'!$B$2</c:f>
              <c:strCache>
                <c:ptCount val="1"/>
                <c:pt idx="0">
                  <c:v>نسبة الإنجاز الكلية %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'سجل الإنجاز اليومي'!$A$3:$A$37</c:f>
              <c:numCache>
                <c:formatCode>dd\-mm\-yyyy</c:formatCode>
                <c:ptCount val="35"/>
                <c:pt idx="0" formatCode="m/d/yyyy">
                  <c:v>46152</c:v>
                </c:pt>
              </c:numCache>
            </c:numRef>
          </c:cat>
          <c:val>
            <c:numRef>
              <c:f>'سجل الإنجاز اليومي'!$B$3:$B$37</c:f>
              <c:numCache>
                <c:formatCode>0.0%</c:formatCode>
                <c:ptCount val="35"/>
                <c:pt idx="0">
                  <c:v>6.3E-2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14-4D63-BCFE-A2FA66BC5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26000512"/>
        <c:axId val="126116992"/>
      </c:lineChart>
      <c:dateAx>
        <c:axId val="12600051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6116992"/>
        <c:crosses val="autoZero"/>
        <c:auto val="1"/>
        <c:lblOffset val="100"/>
        <c:baseTimeUnit val="days"/>
      </c:dateAx>
      <c:valAx>
        <c:axId val="1261169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60005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1015970</xdr:colOff>
      <xdr:row>84</xdr:row>
      <xdr:rowOff>14714</xdr:rowOff>
    </xdr:from>
    <xdr:to>
      <xdr:col>4</xdr:col>
      <xdr:colOff>1006670</xdr:colOff>
      <xdr:row>97</xdr:row>
      <xdr:rowOff>305015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-364680</xdr:colOff>
      <xdr:row>2</xdr:row>
      <xdr:rowOff>0</xdr:rowOff>
    </xdr:from>
    <xdr:to>
      <xdr:col>17</xdr:col>
      <xdr:colOff>0</xdr:colOff>
      <xdr:row>17</xdr:row>
      <xdr:rowOff>18510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99647</xdr:colOff>
      <xdr:row>3</xdr:row>
      <xdr:rowOff>31601</xdr:rowOff>
    </xdr:from>
    <xdr:to>
      <xdr:col>3</xdr:col>
      <xdr:colOff>1962444</xdr:colOff>
      <xdr:row>10</xdr:row>
      <xdr:rowOff>112480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D451E63-790E-AC21-2141-7ED8FB908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7306956" y="793601"/>
          <a:ext cx="1862797" cy="1681079"/>
        </a:xfrm>
        <a:prstGeom prst="rect">
          <a:avLst/>
        </a:prstGeom>
      </xdr:spPr>
    </xdr:pic>
    <xdr:clientData/>
  </xdr:twoCellAnchor>
  <xdr:twoCellAnchor editAs="oneCell">
    <xdr:from>
      <xdr:col>2</xdr:col>
      <xdr:colOff>111370</xdr:colOff>
      <xdr:row>3</xdr:row>
      <xdr:rowOff>56270</xdr:rowOff>
    </xdr:from>
    <xdr:to>
      <xdr:col>2</xdr:col>
      <xdr:colOff>1996588</xdr:colOff>
      <xdr:row>10</xdr:row>
      <xdr:rowOff>210721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B4BAA74-E4B6-AB4B-E9A2-14AA20B59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9339737" y="818270"/>
          <a:ext cx="1875693" cy="1743221"/>
        </a:xfrm>
        <a:prstGeom prst="rect">
          <a:avLst/>
        </a:prstGeom>
      </xdr:spPr>
    </xdr:pic>
    <xdr:clientData/>
  </xdr:twoCellAnchor>
  <xdr:twoCellAnchor editAs="oneCell">
    <xdr:from>
      <xdr:col>1</xdr:col>
      <xdr:colOff>82062</xdr:colOff>
      <xdr:row>3</xdr:row>
      <xdr:rowOff>72292</xdr:rowOff>
    </xdr:from>
    <xdr:to>
      <xdr:col>1</xdr:col>
      <xdr:colOff>1887416</xdr:colOff>
      <xdr:row>10</xdr:row>
      <xdr:rowOff>167787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40088B1-E082-B986-B2C5-D608EF405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1496784" y="834292"/>
          <a:ext cx="1805354" cy="168617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</xdr:row>
      <xdr:rowOff>111370</xdr:rowOff>
    </xdr:from>
    <xdr:to>
      <xdr:col>0</xdr:col>
      <xdr:colOff>1962444</xdr:colOff>
      <xdr:row>10</xdr:row>
      <xdr:rowOff>112644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41DF525-D1B1-0E12-ED6F-CFEBA0417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4465419" y="879996"/>
          <a:ext cx="1954823" cy="1624665"/>
        </a:xfrm>
        <a:prstGeom prst="rect">
          <a:avLst/>
        </a:prstGeom>
      </xdr:spPr>
    </xdr:pic>
    <xdr:clientData/>
  </xdr:twoCellAnchor>
  <xdr:twoCellAnchor editAs="oneCell">
    <xdr:from>
      <xdr:col>3</xdr:col>
      <xdr:colOff>99391</xdr:colOff>
      <xdr:row>15</xdr:row>
      <xdr:rowOff>44614</xdr:rowOff>
    </xdr:from>
    <xdr:to>
      <xdr:col>3</xdr:col>
      <xdr:colOff>1882141</xdr:colOff>
      <xdr:row>22</xdr:row>
      <xdr:rowOff>212944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20E8156A-F93B-94D9-8332-CDF41FEEF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8348343" y="3510057"/>
          <a:ext cx="1790370" cy="1797437"/>
        </a:xfrm>
        <a:prstGeom prst="rect">
          <a:avLst/>
        </a:prstGeom>
      </xdr:spPr>
    </xdr:pic>
    <xdr:clientData/>
  </xdr:twoCellAnchor>
  <xdr:twoCellAnchor editAs="oneCell">
    <xdr:from>
      <xdr:col>2</xdr:col>
      <xdr:colOff>86140</xdr:colOff>
      <xdr:row>15</xdr:row>
      <xdr:rowOff>47708</xdr:rowOff>
    </xdr:from>
    <xdr:to>
      <xdr:col>2</xdr:col>
      <xdr:colOff>1849673</xdr:colOff>
      <xdr:row>22</xdr:row>
      <xdr:rowOff>188181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F9D0DCF-FBB5-CD84-71A0-90CDDED9D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0456764" y="3513151"/>
          <a:ext cx="1755913" cy="1763865"/>
        </a:xfrm>
        <a:prstGeom prst="rect">
          <a:avLst/>
        </a:prstGeom>
      </xdr:spPr>
    </xdr:pic>
    <xdr:clientData/>
  </xdr:twoCellAnchor>
  <xdr:twoCellAnchor editAs="oneCell">
    <xdr:from>
      <xdr:col>1</xdr:col>
      <xdr:colOff>86140</xdr:colOff>
      <xdr:row>15</xdr:row>
      <xdr:rowOff>54335</xdr:rowOff>
    </xdr:from>
    <xdr:to>
      <xdr:col>1</xdr:col>
      <xdr:colOff>1980207</xdr:colOff>
      <xdr:row>22</xdr:row>
      <xdr:rowOff>134509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C154AC7B-F140-7B5B-200B-6235DD4FC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379323" y="3519778"/>
          <a:ext cx="1894067" cy="16883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30480</xdr:rowOff>
    </xdr:from>
    <xdr:to>
      <xdr:col>0</xdr:col>
      <xdr:colOff>1922229</xdr:colOff>
      <xdr:row>22</xdr:row>
      <xdr:rowOff>152400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9D46DB2D-6E66-E12F-416E-B2F4AC029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4482774" y="3495923"/>
          <a:ext cx="1937469" cy="17453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1F3864"/>
    <pageSetUpPr fitToPage="1"/>
  </sheetPr>
  <dimension ref="A1:S100"/>
  <sheetViews>
    <sheetView showGridLines="0" rightToLeft="1" tabSelected="1" workbookViewId="0">
      <selection activeCell="A11" sqref="A11:I11"/>
    </sheetView>
  </sheetViews>
  <sheetFormatPr defaultColWidth="8.6640625" defaultRowHeight="14.4" x14ac:dyDescent="0.3"/>
  <cols>
    <col min="1" max="1" width="38.44140625" customWidth="1"/>
    <col min="2" max="2" width="11" customWidth="1"/>
    <col min="3" max="3" width="14" customWidth="1"/>
    <col min="4" max="4" width="34.109375" bestFit="1" customWidth="1"/>
    <col min="5" max="5" width="15.44140625" customWidth="1"/>
    <col min="6" max="6" width="15.6640625" bestFit="1" customWidth="1"/>
    <col min="7" max="7" width="12" customWidth="1"/>
    <col min="8" max="8" width="11" customWidth="1"/>
    <col min="9" max="9" width="15" customWidth="1"/>
    <col min="11" max="11" width="2" hidden="1" customWidth="1"/>
  </cols>
  <sheetData>
    <row r="1" spans="1:19" ht="37.5" customHeight="1" x14ac:dyDescent="0.3">
      <c r="A1" s="83" t="s">
        <v>0</v>
      </c>
      <c r="B1" s="83"/>
      <c r="C1" s="83"/>
      <c r="D1" s="83"/>
      <c r="E1" s="83"/>
      <c r="F1" s="83"/>
      <c r="G1" s="83"/>
      <c r="H1" s="83"/>
      <c r="I1" s="83"/>
    </row>
    <row r="2" spans="1:19" ht="25.5" customHeight="1" x14ac:dyDescent="0.3">
      <c r="A2" s="84" t="s">
        <v>1</v>
      </c>
      <c r="B2" s="84"/>
      <c r="C2" s="84"/>
      <c r="D2" s="84"/>
      <c r="E2" s="84"/>
      <c r="F2" s="84"/>
      <c r="G2" s="84"/>
      <c r="H2" s="84"/>
      <c r="I2" s="84"/>
    </row>
    <row r="3" spans="1:19" ht="24" customHeight="1" x14ac:dyDescent="0.3">
      <c r="A3" s="1" t="s">
        <v>2</v>
      </c>
      <c r="B3" s="85">
        <v>262087953</v>
      </c>
      <c r="C3" s="85"/>
      <c r="D3" s="1" t="s">
        <v>3</v>
      </c>
      <c r="E3" s="2" t="s">
        <v>4</v>
      </c>
      <c r="F3" s="1" t="s">
        <v>5</v>
      </c>
      <c r="G3" s="53">
        <v>46300</v>
      </c>
      <c r="H3" s="1" t="s">
        <v>6</v>
      </c>
      <c r="I3" s="45">
        <v>1</v>
      </c>
    </row>
    <row r="4" spans="1:19" ht="15" customHeight="1" x14ac:dyDescent="0.3">
      <c r="A4" s="1" t="s">
        <v>7</v>
      </c>
      <c r="B4" s="79" t="s">
        <v>139</v>
      </c>
      <c r="C4" s="80"/>
      <c r="D4" s="80"/>
      <c r="E4" s="81"/>
      <c r="F4" s="1" t="s">
        <v>8</v>
      </c>
      <c r="G4" s="66" t="s">
        <v>160</v>
      </c>
      <c r="H4" s="66"/>
      <c r="I4" s="66"/>
    </row>
    <row r="5" spans="1:19" ht="31.5" customHeight="1" x14ac:dyDescent="0.3">
      <c r="A5" s="1" t="s">
        <v>9</v>
      </c>
      <c r="B5" s="79" t="s">
        <v>194</v>
      </c>
      <c r="C5" s="80"/>
      <c r="D5" s="80"/>
      <c r="E5" s="80"/>
      <c r="F5" s="80"/>
      <c r="G5" s="80"/>
      <c r="H5" s="80"/>
      <c r="I5" s="81"/>
    </row>
    <row r="6" spans="1:19" ht="27.75" customHeight="1" x14ac:dyDescent="0.3">
      <c r="A6" s="1" t="s">
        <v>10</v>
      </c>
      <c r="B6" s="66" t="s">
        <v>132</v>
      </c>
      <c r="C6" s="66"/>
      <c r="D6" s="1" t="s">
        <v>11</v>
      </c>
      <c r="E6" s="66" t="s">
        <v>133</v>
      </c>
      <c r="F6" s="66"/>
      <c r="G6" s="1" t="s">
        <v>12</v>
      </c>
      <c r="H6" s="66" t="s">
        <v>140</v>
      </c>
      <c r="I6" s="66"/>
    </row>
    <row r="7" spans="1:19" ht="24" customHeight="1" x14ac:dyDescent="0.3">
      <c r="A7" s="1" t="s">
        <v>13</v>
      </c>
      <c r="B7" s="53">
        <v>46152</v>
      </c>
      <c r="C7" s="1" t="s">
        <v>14</v>
      </c>
      <c r="D7" s="53">
        <v>46346</v>
      </c>
      <c r="E7" s="1" t="s">
        <v>15</v>
      </c>
      <c r="F7" s="54">
        <v>40</v>
      </c>
      <c r="G7" s="1" t="s">
        <v>16</v>
      </c>
      <c r="H7" s="82">
        <f>IF($D$7="","",$D$7-$G$3)</f>
        <v>46</v>
      </c>
      <c r="I7" s="82"/>
    </row>
    <row r="8" spans="1:19" ht="21.75" customHeight="1" x14ac:dyDescent="0.3">
      <c r="A8" s="68" t="s">
        <v>17</v>
      </c>
      <c r="B8" s="68"/>
      <c r="C8" s="68"/>
      <c r="D8" s="68"/>
      <c r="E8" s="68"/>
      <c r="F8" s="68"/>
      <c r="G8" s="68"/>
      <c r="H8" s="68"/>
      <c r="I8" s="68"/>
    </row>
    <row r="9" spans="1:19" ht="15" customHeight="1" x14ac:dyDescent="0.3">
      <c r="A9" s="1" t="s">
        <v>18</v>
      </c>
      <c r="B9" s="75" t="s">
        <v>19</v>
      </c>
      <c r="C9" s="75"/>
      <c r="D9" s="1" t="s">
        <v>20</v>
      </c>
      <c r="E9" s="1" t="s">
        <v>21</v>
      </c>
      <c r="F9" s="75" t="s">
        <v>22</v>
      </c>
      <c r="G9" s="75"/>
      <c r="H9" s="75" t="s">
        <v>23</v>
      </c>
      <c r="I9" s="75"/>
    </row>
    <row r="10" spans="1:19" ht="36" customHeight="1" x14ac:dyDescent="0.3">
      <c r="A10" s="4">
        <f>IFERROR(SUM($K$13:$K$17)/SUM($H$13:$H$17),0)</f>
        <v>6.2897370280347184E-2</v>
      </c>
      <c r="B10" s="76">
        <v>2.1700000000000001E-2</v>
      </c>
      <c r="C10" s="76"/>
      <c r="D10" s="5">
        <f>$A$10-$B$10</f>
        <v>4.1197370280347187E-2</v>
      </c>
      <c r="E10" s="6" t="str">
        <f>IF($A$10&gt;=0.999,"مكتمل",IF($D$10&gt;=0,"وفق المخطط",IF($D$10&gt;=-0.1,"تحت المتابعة","متأخر")))</f>
        <v>وفق المخطط</v>
      </c>
      <c r="F10" s="77">
        <v>6.3E-2</v>
      </c>
      <c r="G10" s="77"/>
      <c r="H10" s="78">
        <f>IFERROR(MAX(0,(1-$A$10)/MAX($H$7,1)),0)</f>
        <v>2.0371796298253322E-2</v>
      </c>
      <c r="I10" s="78"/>
    </row>
    <row r="11" spans="1:19" ht="21.75" customHeight="1" x14ac:dyDescent="0.3">
      <c r="A11" s="68" t="s">
        <v>24</v>
      </c>
      <c r="B11" s="68"/>
      <c r="C11" s="68"/>
      <c r="D11" s="68"/>
      <c r="E11" s="68"/>
      <c r="F11" s="68"/>
      <c r="G11" s="68"/>
      <c r="H11" s="68"/>
      <c r="I11" s="68"/>
    </row>
    <row r="12" spans="1:19" ht="27.75" customHeight="1" x14ac:dyDescent="0.3">
      <c r="A12" s="7" t="s">
        <v>25</v>
      </c>
      <c r="B12" s="7" t="s">
        <v>26</v>
      </c>
      <c r="C12" s="7" t="s">
        <v>27</v>
      </c>
      <c r="D12" s="7" t="s">
        <v>28</v>
      </c>
      <c r="E12" s="7" t="s">
        <v>29</v>
      </c>
      <c r="F12" s="7" t="s">
        <v>30</v>
      </c>
      <c r="G12" s="7" t="s">
        <v>31</v>
      </c>
      <c r="H12" s="7" t="s">
        <v>32</v>
      </c>
      <c r="I12" s="7" t="s">
        <v>33</v>
      </c>
    </row>
    <row r="13" spans="1:19" ht="18" customHeight="1" x14ac:dyDescent="0.3">
      <c r="A13" s="63" t="s">
        <v>128</v>
      </c>
      <c r="B13" s="64" t="s">
        <v>34</v>
      </c>
      <c r="C13" s="62">
        <v>51390</v>
      </c>
      <c r="D13" s="62">
        <v>2500</v>
      </c>
      <c r="E13" s="62">
        <v>2500</v>
      </c>
      <c r="F13" s="11">
        <f t="shared" ref="F13:F17" si="0">IF($A13="","",$C13-$D13)</f>
        <v>48890</v>
      </c>
      <c r="G13" s="12">
        <f t="shared" ref="G13:G17" si="1">IF($A13="","",IFERROR(MIN($D13/$C13,1),0))</f>
        <v>4.864759680871765E-2</v>
      </c>
      <c r="H13" s="13">
        <f>0.25*G13</f>
        <v>1.2161899202179412E-2</v>
      </c>
      <c r="I13" s="48" t="s">
        <v>113</v>
      </c>
      <c r="K13" s="14">
        <f t="shared" ref="K13:K17" si="2">IF($A13="",0,IFERROR(MIN($D13/$C13,1),0)*$H13)</f>
        <v>5.9164716881588894E-4</v>
      </c>
      <c r="S13" s="56"/>
    </row>
    <row r="14" spans="1:19" ht="18" customHeight="1" x14ac:dyDescent="0.3">
      <c r="A14" s="63" t="s">
        <v>129</v>
      </c>
      <c r="B14" s="64" t="s">
        <v>34</v>
      </c>
      <c r="C14" s="62">
        <v>6900</v>
      </c>
      <c r="D14" s="65">
        <v>500</v>
      </c>
      <c r="E14" s="65">
        <v>500</v>
      </c>
      <c r="F14" s="18">
        <f t="shared" si="0"/>
        <v>6400</v>
      </c>
      <c r="G14" s="12">
        <f t="shared" si="1"/>
        <v>7.2463768115942032E-2</v>
      </c>
      <c r="H14" s="13">
        <f t="shared" ref="H14:H17" si="3">0.25*G14</f>
        <v>1.8115942028985508E-2</v>
      </c>
      <c r="I14" s="48" t="s">
        <v>113</v>
      </c>
      <c r="K14" s="14">
        <f t="shared" si="2"/>
        <v>1.3127494223902543E-3</v>
      </c>
      <c r="S14" s="56"/>
    </row>
    <row r="15" spans="1:19" ht="26.25" customHeight="1" x14ac:dyDescent="0.3">
      <c r="A15" s="8" t="s">
        <v>141</v>
      </c>
      <c r="B15" s="9" t="s">
        <v>159</v>
      </c>
      <c r="C15" s="52">
        <v>13636</v>
      </c>
      <c r="D15" s="10">
        <v>0</v>
      </c>
      <c r="E15" s="10">
        <v>0</v>
      </c>
      <c r="F15" s="11">
        <f t="shared" si="0"/>
        <v>13636</v>
      </c>
      <c r="G15" s="12">
        <f t="shared" si="1"/>
        <v>0</v>
      </c>
      <c r="H15" s="13">
        <f t="shared" si="3"/>
        <v>0</v>
      </c>
      <c r="I15" s="16" t="s">
        <v>109</v>
      </c>
      <c r="K15" s="14">
        <f t="shared" si="2"/>
        <v>0</v>
      </c>
    </row>
    <row r="16" spans="1:19" ht="18" customHeight="1" x14ac:dyDescent="0.3">
      <c r="A16" s="15" t="s">
        <v>157</v>
      </c>
      <c r="B16" s="16" t="s">
        <v>36</v>
      </c>
      <c r="C16" s="51">
        <v>14</v>
      </c>
      <c r="D16" s="17">
        <v>0</v>
      </c>
      <c r="E16" s="17">
        <v>0</v>
      </c>
      <c r="F16" s="18">
        <f t="shared" si="0"/>
        <v>14</v>
      </c>
      <c r="G16" s="12">
        <f t="shared" si="1"/>
        <v>0</v>
      </c>
      <c r="H16" s="13">
        <f t="shared" si="3"/>
        <v>0</v>
      </c>
      <c r="I16" s="16" t="s">
        <v>109</v>
      </c>
      <c r="K16" s="14">
        <f t="shared" si="2"/>
        <v>0</v>
      </c>
    </row>
    <row r="17" spans="1:11" ht="18" customHeight="1" x14ac:dyDescent="0.3">
      <c r="A17" s="8" t="s">
        <v>158</v>
      </c>
      <c r="B17" s="16" t="s">
        <v>36</v>
      </c>
      <c r="C17" s="52">
        <v>5</v>
      </c>
      <c r="D17" s="10">
        <v>0</v>
      </c>
      <c r="E17" s="17">
        <v>0</v>
      </c>
      <c r="F17" s="11">
        <f t="shared" si="0"/>
        <v>5</v>
      </c>
      <c r="G17" s="12">
        <f t="shared" si="1"/>
        <v>0</v>
      </c>
      <c r="H17" s="13">
        <f t="shared" si="3"/>
        <v>0</v>
      </c>
      <c r="I17" s="16" t="s">
        <v>109</v>
      </c>
      <c r="K17" s="14">
        <f t="shared" si="2"/>
        <v>0</v>
      </c>
    </row>
    <row r="18" spans="1:11" ht="22.5" customHeight="1" x14ac:dyDescent="0.3">
      <c r="A18" s="69" t="s">
        <v>39</v>
      </c>
      <c r="B18" s="69"/>
      <c r="C18" s="20">
        <f>SUM($C$13:$C$17)</f>
        <v>71945</v>
      </c>
      <c r="D18" s="20">
        <f>SUM($D$13:$D$17)</f>
        <v>3000</v>
      </c>
      <c r="E18" s="20">
        <f>SUM($E$13:$E$17)</f>
        <v>3000</v>
      </c>
      <c r="F18" s="20">
        <f>SUM($F$13:$F$17)</f>
        <v>68945</v>
      </c>
      <c r="G18" s="21">
        <f>$A$10</f>
        <v>6.2897370280347184E-2</v>
      </c>
      <c r="H18" s="22">
        <f>SUM($H$13:$H$17)</f>
        <v>3.027784123116492E-2</v>
      </c>
      <c r="I18" s="23" t="str">
        <f>IF($H$18&lt;&gt;1,"⚠ مجموع الأوزان ≠ 100%","✔")</f>
        <v>⚠ مجموع الأوزان ≠ 100%</v>
      </c>
    </row>
    <row r="19" spans="1:11" ht="21.75" customHeight="1" x14ac:dyDescent="0.3">
      <c r="A19" s="68" t="s">
        <v>40</v>
      </c>
      <c r="B19" s="68"/>
      <c r="C19" s="68"/>
      <c r="D19" s="68"/>
      <c r="E19" s="68"/>
      <c r="F19" s="68"/>
      <c r="G19" s="68"/>
      <c r="H19" s="68"/>
      <c r="I19" s="68"/>
    </row>
    <row r="20" spans="1:11" ht="27.75" customHeight="1" x14ac:dyDescent="0.3">
      <c r="A20" s="7" t="s">
        <v>41</v>
      </c>
      <c r="B20" s="7" t="s">
        <v>26</v>
      </c>
      <c r="C20" s="7" t="s">
        <v>42</v>
      </c>
      <c r="D20" s="7" t="s">
        <v>43</v>
      </c>
      <c r="E20" s="7" t="s">
        <v>30</v>
      </c>
      <c r="F20" s="7" t="s">
        <v>44</v>
      </c>
      <c r="G20" s="7" t="s">
        <v>45</v>
      </c>
      <c r="H20" s="74" t="s">
        <v>46</v>
      </c>
      <c r="I20" s="74"/>
    </row>
    <row r="21" spans="1:11" ht="21.75" customHeight="1" x14ac:dyDescent="0.3">
      <c r="A21" s="9" t="s">
        <v>142</v>
      </c>
      <c r="B21" s="9" t="s">
        <v>36</v>
      </c>
      <c r="C21" s="10">
        <v>14</v>
      </c>
      <c r="D21" s="10">
        <v>13</v>
      </c>
      <c r="E21" s="11">
        <f t="shared" ref="E21:E36" si="4">IF($A21="","",$C21-$D21)</f>
        <v>1</v>
      </c>
      <c r="F21" s="12">
        <f t="shared" ref="F21:F36" si="5">IF($A21="","",IFERROR($D21/$C21,0))</f>
        <v>0.9285714285714286</v>
      </c>
      <c r="G21" s="9" t="s">
        <v>47</v>
      </c>
      <c r="H21" s="71"/>
      <c r="I21" s="71"/>
    </row>
    <row r="22" spans="1:11" ht="30.75" customHeight="1" x14ac:dyDescent="0.3">
      <c r="A22" s="16" t="s">
        <v>130</v>
      </c>
      <c r="B22" s="16" t="s">
        <v>34</v>
      </c>
      <c r="C22" s="17">
        <v>53115</v>
      </c>
      <c r="D22" s="17">
        <v>24715</v>
      </c>
      <c r="E22" s="18">
        <f t="shared" si="4"/>
        <v>28400</v>
      </c>
      <c r="F22" s="19">
        <f t="shared" si="5"/>
        <v>0.4653111173868022</v>
      </c>
      <c r="G22" s="9" t="s">
        <v>47</v>
      </c>
      <c r="H22" s="70"/>
      <c r="I22" s="70"/>
    </row>
    <row r="23" spans="1:11" ht="41.25" customHeight="1" x14ac:dyDescent="0.3">
      <c r="A23" s="9" t="s">
        <v>147</v>
      </c>
      <c r="B23" s="9" t="s">
        <v>38</v>
      </c>
      <c r="C23" s="10">
        <v>200</v>
      </c>
      <c r="D23" s="10">
        <v>140</v>
      </c>
      <c r="E23" s="11">
        <f t="shared" si="4"/>
        <v>60</v>
      </c>
      <c r="F23" s="12">
        <f t="shared" si="5"/>
        <v>0.7</v>
      </c>
      <c r="G23" s="9" t="s">
        <v>47</v>
      </c>
      <c r="H23" s="71"/>
      <c r="I23" s="71"/>
    </row>
    <row r="24" spans="1:11" ht="29.25" customHeight="1" x14ac:dyDescent="0.3">
      <c r="A24" s="16" t="s">
        <v>144</v>
      </c>
      <c r="B24" s="16" t="s">
        <v>38</v>
      </c>
      <c r="C24" s="17">
        <v>6</v>
      </c>
      <c r="D24" s="17">
        <v>0</v>
      </c>
      <c r="E24" s="18">
        <f t="shared" si="4"/>
        <v>6</v>
      </c>
      <c r="F24" s="19">
        <f t="shared" si="5"/>
        <v>0</v>
      </c>
      <c r="G24" s="16" t="s">
        <v>48</v>
      </c>
      <c r="H24" s="70"/>
      <c r="I24" s="70"/>
    </row>
    <row r="25" spans="1:11" ht="24.75" customHeight="1" x14ac:dyDescent="0.3">
      <c r="A25" s="9" t="s">
        <v>145</v>
      </c>
      <c r="B25" s="9" t="s">
        <v>38</v>
      </c>
      <c r="C25" s="10">
        <v>34</v>
      </c>
      <c r="D25" s="10">
        <v>33</v>
      </c>
      <c r="E25" s="11">
        <f t="shared" si="4"/>
        <v>1</v>
      </c>
      <c r="F25" s="12">
        <f t="shared" si="5"/>
        <v>0.97058823529411764</v>
      </c>
      <c r="G25" s="9" t="s">
        <v>47</v>
      </c>
      <c r="H25" s="71"/>
      <c r="I25" s="71"/>
    </row>
    <row r="26" spans="1:11" ht="24.75" customHeight="1" x14ac:dyDescent="0.3">
      <c r="A26" s="9" t="s">
        <v>143</v>
      </c>
      <c r="B26" s="9" t="s">
        <v>36</v>
      </c>
      <c r="C26" s="10">
        <v>5</v>
      </c>
      <c r="D26" s="10">
        <v>5</v>
      </c>
      <c r="E26" s="11">
        <f t="shared" si="4"/>
        <v>0</v>
      </c>
      <c r="F26" s="12">
        <f t="shared" si="5"/>
        <v>1</v>
      </c>
      <c r="G26" s="9" t="s">
        <v>50</v>
      </c>
      <c r="H26" s="71"/>
      <c r="I26" s="71"/>
    </row>
    <row r="27" spans="1:11" ht="24.75" customHeight="1" x14ac:dyDescent="0.3">
      <c r="A27" s="9" t="s">
        <v>146</v>
      </c>
      <c r="B27" s="9" t="s">
        <v>36</v>
      </c>
      <c r="C27" s="10">
        <v>14</v>
      </c>
      <c r="D27" s="10">
        <v>13</v>
      </c>
      <c r="E27" s="11">
        <f t="shared" si="4"/>
        <v>1</v>
      </c>
      <c r="F27" s="12">
        <f t="shared" si="5"/>
        <v>0.9285714285714286</v>
      </c>
      <c r="G27" s="9" t="s">
        <v>47</v>
      </c>
      <c r="H27" s="71"/>
      <c r="I27" s="71"/>
    </row>
    <row r="28" spans="1:11" ht="24.75" customHeight="1" x14ac:dyDescent="0.3">
      <c r="A28" s="9" t="s">
        <v>148</v>
      </c>
      <c r="B28" s="9" t="s">
        <v>38</v>
      </c>
      <c r="C28" s="10">
        <v>30</v>
      </c>
      <c r="D28" s="10">
        <v>30</v>
      </c>
      <c r="E28" s="11">
        <f t="shared" si="4"/>
        <v>0</v>
      </c>
      <c r="F28" s="12">
        <f t="shared" si="5"/>
        <v>1</v>
      </c>
      <c r="G28" s="9" t="s">
        <v>50</v>
      </c>
      <c r="H28" s="71"/>
      <c r="I28" s="71"/>
    </row>
    <row r="29" spans="1:11" ht="24.75" customHeight="1" x14ac:dyDescent="0.3">
      <c r="A29" s="9" t="s">
        <v>149</v>
      </c>
      <c r="B29" s="9" t="s">
        <v>150</v>
      </c>
      <c r="C29" s="10">
        <v>120</v>
      </c>
      <c r="D29" s="10">
        <v>120</v>
      </c>
      <c r="E29" s="11">
        <f t="shared" si="4"/>
        <v>0</v>
      </c>
      <c r="F29" s="12">
        <f t="shared" si="5"/>
        <v>1</v>
      </c>
      <c r="G29" s="9" t="s">
        <v>50</v>
      </c>
      <c r="H29" s="71"/>
      <c r="I29" s="71"/>
    </row>
    <row r="30" spans="1:11" ht="27" customHeight="1" x14ac:dyDescent="0.3">
      <c r="A30" s="16" t="s">
        <v>151</v>
      </c>
      <c r="B30" s="9" t="s">
        <v>38</v>
      </c>
      <c r="C30" s="17">
        <v>57</v>
      </c>
      <c r="D30" s="17">
        <v>57</v>
      </c>
      <c r="E30" s="18">
        <f t="shared" si="4"/>
        <v>0</v>
      </c>
      <c r="F30" s="19">
        <f t="shared" si="5"/>
        <v>1</v>
      </c>
      <c r="G30" s="16" t="s">
        <v>50</v>
      </c>
      <c r="H30" s="70"/>
      <c r="I30" s="70"/>
    </row>
    <row r="31" spans="1:11" ht="25.5" customHeight="1" x14ac:dyDescent="0.3">
      <c r="A31" s="16" t="s">
        <v>152</v>
      </c>
      <c r="B31" s="9" t="s">
        <v>38</v>
      </c>
      <c r="C31" s="17">
        <v>6</v>
      </c>
      <c r="D31" s="17">
        <v>6</v>
      </c>
      <c r="E31" s="18">
        <f t="shared" si="4"/>
        <v>0</v>
      </c>
      <c r="F31" s="19">
        <f t="shared" si="5"/>
        <v>1</v>
      </c>
      <c r="G31" s="16" t="s">
        <v>50</v>
      </c>
      <c r="H31" s="15"/>
      <c r="I31" s="15"/>
    </row>
    <row r="32" spans="1:11" ht="18" customHeight="1" x14ac:dyDescent="0.3">
      <c r="A32" s="15" t="s">
        <v>153</v>
      </c>
      <c r="B32" s="9" t="s">
        <v>38</v>
      </c>
      <c r="C32" s="17">
        <v>19</v>
      </c>
      <c r="D32" s="17">
        <v>19</v>
      </c>
      <c r="E32" s="18">
        <f t="shared" si="4"/>
        <v>0</v>
      </c>
      <c r="F32" s="19">
        <f t="shared" si="5"/>
        <v>1</v>
      </c>
      <c r="G32" s="16" t="s">
        <v>50</v>
      </c>
      <c r="H32" s="15"/>
      <c r="I32" s="15"/>
    </row>
    <row r="33" spans="1:9" ht="18" customHeight="1" x14ac:dyDescent="0.3">
      <c r="A33" s="15" t="s">
        <v>154</v>
      </c>
      <c r="B33" s="9" t="s">
        <v>38</v>
      </c>
      <c r="C33" s="17">
        <v>19</v>
      </c>
      <c r="D33" s="17">
        <v>19</v>
      </c>
      <c r="E33" s="18">
        <f t="shared" si="4"/>
        <v>0</v>
      </c>
      <c r="F33" s="19">
        <f t="shared" si="5"/>
        <v>1</v>
      </c>
      <c r="G33" s="16" t="s">
        <v>50</v>
      </c>
      <c r="H33" s="15"/>
      <c r="I33" s="15"/>
    </row>
    <row r="34" spans="1:9" ht="18" customHeight="1" x14ac:dyDescent="0.3">
      <c r="A34" s="15" t="s">
        <v>155</v>
      </c>
      <c r="B34" s="9" t="s">
        <v>38</v>
      </c>
      <c r="C34" s="17">
        <v>9</v>
      </c>
      <c r="D34" s="17">
        <v>9</v>
      </c>
      <c r="E34" s="18">
        <f t="shared" si="4"/>
        <v>0</v>
      </c>
      <c r="F34" s="19">
        <f t="shared" si="5"/>
        <v>1</v>
      </c>
      <c r="G34" s="16" t="s">
        <v>50</v>
      </c>
      <c r="H34" s="15"/>
      <c r="I34" s="15"/>
    </row>
    <row r="35" spans="1:9" ht="18" customHeight="1" x14ac:dyDescent="0.3">
      <c r="A35" s="15" t="s">
        <v>156</v>
      </c>
      <c r="B35" s="9" t="s">
        <v>34</v>
      </c>
      <c r="C35" s="17">
        <v>20</v>
      </c>
      <c r="D35" s="17">
        <v>20</v>
      </c>
      <c r="E35" s="18">
        <f t="shared" si="4"/>
        <v>0</v>
      </c>
      <c r="F35" s="19">
        <f t="shared" si="5"/>
        <v>1</v>
      </c>
      <c r="G35" s="16" t="s">
        <v>50</v>
      </c>
      <c r="H35" s="15"/>
      <c r="I35" s="15"/>
    </row>
    <row r="36" spans="1:9" ht="18" customHeight="1" x14ac:dyDescent="0.3">
      <c r="A36" s="8"/>
      <c r="B36" s="9"/>
      <c r="C36" s="10"/>
      <c r="D36" s="10"/>
      <c r="E36" s="11" t="str">
        <f t="shared" si="4"/>
        <v/>
      </c>
      <c r="F36" s="12" t="str">
        <f t="shared" si="5"/>
        <v/>
      </c>
      <c r="G36" s="9"/>
      <c r="H36" s="71"/>
      <c r="I36" s="71"/>
    </row>
    <row r="37" spans="1:9" ht="21.75" customHeight="1" x14ac:dyDescent="0.3">
      <c r="A37" s="68" t="s">
        <v>51</v>
      </c>
      <c r="B37" s="68"/>
      <c r="C37" s="68"/>
      <c r="D37" s="68"/>
      <c r="E37" s="68"/>
      <c r="F37" s="68"/>
      <c r="G37" s="68"/>
      <c r="H37" s="68"/>
      <c r="I37" s="68"/>
    </row>
    <row r="38" spans="1:9" ht="27.75" customHeight="1" x14ac:dyDescent="0.3">
      <c r="A38" s="7" t="s">
        <v>52</v>
      </c>
      <c r="B38" s="7" t="s">
        <v>53</v>
      </c>
      <c r="C38" s="7" t="s">
        <v>54</v>
      </c>
      <c r="D38" s="7" t="s">
        <v>55</v>
      </c>
      <c r="E38" s="7" t="s">
        <v>56</v>
      </c>
      <c r="F38" s="7" t="s">
        <v>57</v>
      </c>
      <c r="G38" s="7" t="s">
        <v>58</v>
      </c>
      <c r="H38" s="7" t="s">
        <v>59</v>
      </c>
      <c r="I38" s="7" t="s">
        <v>31</v>
      </c>
    </row>
    <row r="39" spans="1:9" ht="18" customHeight="1" x14ac:dyDescent="0.3">
      <c r="A39" s="42" t="s">
        <v>162</v>
      </c>
      <c r="B39" s="9" t="s">
        <v>131</v>
      </c>
      <c r="C39" s="8" t="s">
        <v>134</v>
      </c>
      <c r="D39" s="9" t="s">
        <v>60</v>
      </c>
      <c r="E39" s="44">
        <v>46285</v>
      </c>
      <c r="F39" s="44">
        <v>46345</v>
      </c>
      <c r="G39" s="10">
        <v>636.79003999999998</v>
      </c>
      <c r="H39" s="10"/>
      <c r="I39" s="12">
        <f t="shared" ref="I39:I56" si="6">IF($A39="","",IFERROR(MIN($H39/$G39,1),0))</f>
        <v>0</v>
      </c>
    </row>
    <row r="40" spans="1:9" ht="18" hidden="1" customHeight="1" x14ac:dyDescent="0.3">
      <c r="A40" s="42" t="s">
        <v>162</v>
      </c>
      <c r="B40" s="9" t="s">
        <v>131</v>
      </c>
      <c r="C40" s="8" t="s">
        <v>134</v>
      </c>
      <c r="D40" s="9" t="s">
        <v>95</v>
      </c>
      <c r="E40" s="44">
        <v>46285</v>
      </c>
      <c r="F40" s="44">
        <v>46345</v>
      </c>
      <c r="G40" s="10"/>
      <c r="H40" s="10"/>
      <c r="I40" s="12">
        <f t="shared" si="6"/>
        <v>0</v>
      </c>
    </row>
    <row r="41" spans="1:9" ht="18" customHeight="1" x14ac:dyDescent="0.3">
      <c r="A41" s="42" t="s">
        <v>163</v>
      </c>
      <c r="B41" s="9" t="s">
        <v>131</v>
      </c>
      <c r="C41" s="8" t="s">
        <v>134</v>
      </c>
      <c r="D41" s="9" t="s">
        <v>60</v>
      </c>
      <c r="E41" s="44">
        <v>46285</v>
      </c>
      <c r="F41" s="44">
        <v>46345</v>
      </c>
      <c r="G41" s="10">
        <v>768.98</v>
      </c>
      <c r="H41" s="10"/>
      <c r="I41" s="12">
        <f t="shared" si="6"/>
        <v>0</v>
      </c>
    </row>
    <row r="42" spans="1:9" ht="18" hidden="1" customHeight="1" x14ac:dyDescent="0.3">
      <c r="A42" s="42" t="s">
        <v>163</v>
      </c>
      <c r="B42" s="9" t="s">
        <v>131</v>
      </c>
      <c r="C42" s="8" t="s">
        <v>134</v>
      </c>
      <c r="D42" s="9" t="s">
        <v>95</v>
      </c>
      <c r="E42" s="44">
        <v>46285</v>
      </c>
      <c r="F42" s="44">
        <v>46345</v>
      </c>
      <c r="G42" s="10"/>
      <c r="H42" s="10"/>
      <c r="I42" s="12">
        <f t="shared" si="6"/>
        <v>0</v>
      </c>
    </row>
    <row r="43" spans="1:9" ht="18" hidden="1" customHeight="1" x14ac:dyDescent="0.3">
      <c r="A43" s="42" t="s">
        <v>164</v>
      </c>
      <c r="B43" s="9" t="s">
        <v>131</v>
      </c>
      <c r="C43" s="8" t="s">
        <v>134</v>
      </c>
      <c r="D43" s="47" t="s">
        <v>107</v>
      </c>
      <c r="E43" s="44"/>
      <c r="F43" s="44"/>
      <c r="G43" s="46">
        <v>425.83</v>
      </c>
      <c r="H43" s="10"/>
      <c r="I43" s="12">
        <f t="shared" si="6"/>
        <v>0</v>
      </c>
    </row>
    <row r="44" spans="1:9" ht="18" hidden="1" customHeight="1" x14ac:dyDescent="0.3">
      <c r="A44" s="42" t="s">
        <v>165</v>
      </c>
      <c r="B44" s="9" t="s">
        <v>131</v>
      </c>
      <c r="C44" s="8" t="s">
        <v>134</v>
      </c>
      <c r="D44" s="47" t="s">
        <v>103</v>
      </c>
      <c r="E44" s="44"/>
      <c r="F44" s="44"/>
      <c r="G44" s="46">
        <v>431.19</v>
      </c>
      <c r="H44" s="10"/>
      <c r="I44" s="12">
        <f t="shared" si="6"/>
        <v>0</v>
      </c>
    </row>
    <row r="45" spans="1:9" ht="18" customHeight="1" x14ac:dyDescent="0.3">
      <c r="A45" s="42" t="s">
        <v>166</v>
      </c>
      <c r="B45" s="9" t="s">
        <v>131</v>
      </c>
      <c r="C45" s="8" t="s">
        <v>134</v>
      </c>
      <c r="D45" s="9" t="s">
        <v>60</v>
      </c>
      <c r="E45" s="44">
        <v>46287</v>
      </c>
      <c r="F45" s="44">
        <v>46347</v>
      </c>
      <c r="G45" s="50">
        <v>215.47</v>
      </c>
      <c r="H45" s="10"/>
      <c r="I45" s="12">
        <f t="shared" si="6"/>
        <v>0</v>
      </c>
    </row>
    <row r="46" spans="1:9" ht="18" hidden="1" customHeight="1" x14ac:dyDescent="0.3">
      <c r="A46" s="42" t="s">
        <v>167</v>
      </c>
      <c r="B46" s="9" t="s">
        <v>131</v>
      </c>
      <c r="C46" s="8" t="s">
        <v>134</v>
      </c>
      <c r="D46" s="47" t="s">
        <v>103</v>
      </c>
      <c r="E46" s="44"/>
      <c r="F46" s="44"/>
      <c r="G46" s="10">
        <v>414.74</v>
      </c>
      <c r="H46" s="10"/>
      <c r="I46" s="12">
        <f t="shared" si="6"/>
        <v>0</v>
      </c>
    </row>
    <row r="47" spans="1:9" ht="18" customHeight="1" x14ac:dyDescent="0.3">
      <c r="A47" s="42" t="s">
        <v>168</v>
      </c>
      <c r="B47" s="9" t="s">
        <v>131</v>
      </c>
      <c r="C47" s="8" t="s">
        <v>134</v>
      </c>
      <c r="D47" s="9" t="s">
        <v>60</v>
      </c>
      <c r="E47" s="44">
        <v>46298</v>
      </c>
      <c r="F47" s="44">
        <v>46358</v>
      </c>
      <c r="G47" s="10">
        <v>307.01</v>
      </c>
      <c r="H47" s="10"/>
      <c r="I47" s="12">
        <f t="shared" si="6"/>
        <v>0</v>
      </c>
    </row>
    <row r="48" spans="1:9" ht="18" hidden="1" customHeight="1" x14ac:dyDescent="0.3">
      <c r="A48" s="42" t="s">
        <v>169</v>
      </c>
      <c r="B48" s="9" t="s">
        <v>131</v>
      </c>
      <c r="C48" s="8" t="s">
        <v>134</v>
      </c>
      <c r="D48" s="47" t="s">
        <v>103</v>
      </c>
      <c r="E48" s="44"/>
      <c r="F48" s="44"/>
      <c r="G48" s="10">
        <v>773.16</v>
      </c>
      <c r="H48" s="10"/>
      <c r="I48" s="12">
        <f t="shared" si="6"/>
        <v>0</v>
      </c>
    </row>
    <row r="49" spans="1:9" ht="18" customHeight="1" x14ac:dyDescent="0.3">
      <c r="A49" s="42" t="s">
        <v>170</v>
      </c>
      <c r="B49" s="9" t="s">
        <v>131</v>
      </c>
      <c r="C49" s="8" t="s">
        <v>134</v>
      </c>
      <c r="D49" s="9" t="s">
        <v>60</v>
      </c>
      <c r="E49" s="44">
        <v>46298</v>
      </c>
      <c r="F49" s="44">
        <v>46358</v>
      </c>
      <c r="G49" s="10">
        <v>462.55</v>
      </c>
      <c r="H49" s="10"/>
      <c r="I49" s="12">
        <f t="shared" si="6"/>
        <v>0</v>
      </c>
    </row>
    <row r="50" spans="1:9" ht="18" hidden="1" customHeight="1" x14ac:dyDescent="0.3">
      <c r="A50" s="42" t="s">
        <v>171</v>
      </c>
      <c r="B50" s="9" t="s">
        <v>131</v>
      </c>
      <c r="C50" s="8" t="s">
        <v>135</v>
      </c>
      <c r="D50" s="47" t="s">
        <v>103</v>
      </c>
      <c r="E50" s="44"/>
      <c r="F50" s="44"/>
      <c r="G50" s="10">
        <v>750.95</v>
      </c>
      <c r="H50" s="10"/>
      <c r="I50" s="12">
        <f t="shared" si="6"/>
        <v>0</v>
      </c>
    </row>
    <row r="51" spans="1:9" ht="18" customHeight="1" x14ac:dyDescent="0.3">
      <c r="A51" s="42" t="s">
        <v>172</v>
      </c>
      <c r="B51" s="9" t="s">
        <v>131</v>
      </c>
      <c r="C51" s="8" t="s">
        <v>136</v>
      </c>
      <c r="D51" s="9" t="s">
        <v>60</v>
      </c>
      <c r="E51" s="44">
        <v>46298</v>
      </c>
      <c r="F51" s="44">
        <v>46358</v>
      </c>
      <c r="G51" s="10">
        <v>334.87</v>
      </c>
      <c r="H51" s="10"/>
      <c r="I51" s="12">
        <f t="shared" si="6"/>
        <v>0</v>
      </c>
    </row>
    <row r="52" spans="1:9" ht="18" customHeight="1" x14ac:dyDescent="0.3">
      <c r="A52" s="42" t="s">
        <v>173</v>
      </c>
      <c r="B52" s="9" t="s">
        <v>131</v>
      </c>
      <c r="C52" s="8" t="s">
        <v>136</v>
      </c>
      <c r="D52" s="9" t="s">
        <v>60</v>
      </c>
      <c r="E52" s="44">
        <v>46289</v>
      </c>
      <c r="F52" s="44">
        <v>46349</v>
      </c>
      <c r="G52" s="10">
        <v>378.12</v>
      </c>
      <c r="H52" s="10"/>
      <c r="I52" s="12">
        <f t="shared" si="6"/>
        <v>0</v>
      </c>
    </row>
    <row r="53" spans="1:9" ht="18" customHeight="1" x14ac:dyDescent="0.3">
      <c r="A53" s="42" t="s">
        <v>174</v>
      </c>
      <c r="B53" s="9" t="s">
        <v>131</v>
      </c>
      <c r="C53" s="8" t="s">
        <v>136</v>
      </c>
      <c r="D53" s="9" t="s">
        <v>60</v>
      </c>
      <c r="E53" s="44">
        <v>46289</v>
      </c>
      <c r="F53" s="44">
        <v>46349</v>
      </c>
      <c r="G53" s="10">
        <v>158.16</v>
      </c>
      <c r="H53" s="10"/>
      <c r="I53" s="12">
        <f t="shared" si="6"/>
        <v>0</v>
      </c>
    </row>
    <row r="54" spans="1:9" ht="18" hidden="1" customHeight="1" x14ac:dyDescent="0.3">
      <c r="A54" s="42" t="s">
        <v>175</v>
      </c>
      <c r="B54" s="9" t="s">
        <v>131</v>
      </c>
      <c r="C54" s="8" t="s">
        <v>136</v>
      </c>
      <c r="D54" s="9" t="s">
        <v>107</v>
      </c>
      <c r="E54" s="44"/>
      <c r="F54" s="44"/>
      <c r="G54" s="10">
        <v>786.8</v>
      </c>
      <c r="H54" s="10"/>
      <c r="I54" s="12">
        <f t="shared" si="6"/>
        <v>0</v>
      </c>
    </row>
    <row r="55" spans="1:9" ht="18" customHeight="1" x14ac:dyDescent="0.3">
      <c r="A55" s="42" t="s">
        <v>176</v>
      </c>
      <c r="B55" s="9" t="s">
        <v>131</v>
      </c>
      <c r="C55" s="8" t="s">
        <v>136</v>
      </c>
      <c r="D55" s="9" t="s">
        <v>60</v>
      </c>
      <c r="E55" s="44">
        <v>46298</v>
      </c>
      <c r="F55" s="44">
        <v>46348</v>
      </c>
      <c r="G55" s="10">
        <v>892.38</v>
      </c>
      <c r="H55" s="10">
        <v>500</v>
      </c>
      <c r="I55" s="12">
        <f t="shared" si="6"/>
        <v>0.56029942401219213</v>
      </c>
    </row>
    <row r="56" spans="1:9" ht="18" hidden="1" customHeight="1" x14ac:dyDescent="0.3">
      <c r="A56" s="42" t="s">
        <v>177</v>
      </c>
      <c r="B56" s="9" t="s">
        <v>131</v>
      </c>
      <c r="C56" s="8" t="s">
        <v>136</v>
      </c>
      <c r="D56" s="47" t="s">
        <v>103</v>
      </c>
      <c r="E56" s="44"/>
      <c r="F56" s="44"/>
      <c r="G56" s="10">
        <v>760.20996000000002</v>
      </c>
      <c r="H56" s="10"/>
      <c r="I56" s="12">
        <f t="shared" si="6"/>
        <v>0</v>
      </c>
    </row>
    <row r="57" spans="1:9" ht="18" customHeight="1" x14ac:dyDescent="0.3">
      <c r="A57" s="42" t="s">
        <v>178</v>
      </c>
      <c r="B57" s="9" t="s">
        <v>131</v>
      </c>
      <c r="C57" s="8" t="s">
        <v>136</v>
      </c>
      <c r="D57" s="9" t="s">
        <v>60</v>
      </c>
      <c r="E57" s="44">
        <v>46298</v>
      </c>
      <c r="F57" s="44">
        <v>46348</v>
      </c>
      <c r="G57" s="10">
        <v>670.61</v>
      </c>
      <c r="H57" s="10"/>
      <c r="I57" s="12">
        <f>IF($A57="","",IFERROR(MIN($H57/#REF!,1),0))</f>
        <v>0</v>
      </c>
    </row>
    <row r="58" spans="1:9" ht="18" customHeight="1" x14ac:dyDescent="0.3">
      <c r="A58" s="42" t="s">
        <v>179</v>
      </c>
      <c r="B58" s="9" t="s">
        <v>131</v>
      </c>
      <c r="C58" s="8" t="s">
        <v>136</v>
      </c>
      <c r="D58" s="9" t="s">
        <v>60</v>
      </c>
      <c r="E58" s="44">
        <v>46291</v>
      </c>
      <c r="F58" s="44">
        <v>46351</v>
      </c>
      <c r="G58" s="10">
        <v>906.09</v>
      </c>
      <c r="H58" s="10"/>
      <c r="I58" s="12">
        <f>IF($A58="","",IFERROR(MIN($H58/#REF!,1),0))</f>
        <v>0</v>
      </c>
    </row>
    <row r="59" spans="1:9" ht="18" customHeight="1" x14ac:dyDescent="0.3">
      <c r="A59" s="42" t="s">
        <v>180</v>
      </c>
      <c r="B59" s="9" t="s">
        <v>131</v>
      </c>
      <c r="C59" s="8" t="s">
        <v>136</v>
      </c>
      <c r="D59" s="9" t="s">
        <v>60</v>
      </c>
      <c r="E59" s="44">
        <v>46291</v>
      </c>
      <c r="F59" s="44">
        <v>46351</v>
      </c>
      <c r="G59" s="10">
        <v>311.16000000000003</v>
      </c>
      <c r="H59" s="10"/>
      <c r="I59" s="12">
        <f>IF($A59="","",IFERROR(MIN($H59/#REF!,1),0))</f>
        <v>0</v>
      </c>
    </row>
    <row r="60" spans="1:9" ht="18" customHeight="1" x14ac:dyDescent="0.3">
      <c r="A60" s="42" t="s">
        <v>181</v>
      </c>
      <c r="B60" s="9" t="s">
        <v>131</v>
      </c>
      <c r="C60" s="8" t="s">
        <v>136</v>
      </c>
      <c r="D60" s="9" t="s">
        <v>60</v>
      </c>
      <c r="E60" s="44">
        <v>46291</v>
      </c>
      <c r="F60" s="44">
        <v>46351</v>
      </c>
      <c r="G60" s="10">
        <v>343.1</v>
      </c>
      <c r="H60" s="10"/>
      <c r="I60" s="12">
        <f>IF($A60="","",IFERROR(MIN($H60/#REF!,1),0))</f>
        <v>0</v>
      </c>
    </row>
    <row r="61" spans="1:9" ht="18" customHeight="1" x14ac:dyDescent="0.3">
      <c r="A61" s="42" t="s">
        <v>182</v>
      </c>
      <c r="B61" s="9" t="s">
        <v>131</v>
      </c>
      <c r="C61" s="8" t="s">
        <v>136</v>
      </c>
      <c r="D61" s="9" t="s">
        <v>60</v>
      </c>
      <c r="E61" s="44">
        <v>46293</v>
      </c>
      <c r="F61" s="44">
        <v>46353</v>
      </c>
      <c r="G61" s="10">
        <v>684.47002999999995</v>
      </c>
      <c r="H61" s="10"/>
      <c r="I61" s="12">
        <f>IF($A61="","",IFERROR(MIN($H61/#REF!,1),0))</f>
        <v>0</v>
      </c>
    </row>
    <row r="62" spans="1:9" ht="18" customHeight="1" x14ac:dyDescent="0.3">
      <c r="A62" s="42" t="s">
        <v>183</v>
      </c>
      <c r="B62" s="9" t="s">
        <v>131</v>
      </c>
      <c r="C62" s="8" t="s">
        <v>136</v>
      </c>
      <c r="D62" s="9" t="s">
        <v>60</v>
      </c>
      <c r="E62" s="44">
        <v>46293</v>
      </c>
      <c r="F62" s="44">
        <v>46353</v>
      </c>
      <c r="G62" s="10">
        <v>599.58996999999999</v>
      </c>
      <c r="H62" s="10"/>
      <c r="I62" s="12">
        <f>IF($A62="","",IFERROR(MIN($H62/#REF!,1),0))</f>
        <v>0</v>
      </c>
    </row>
    <row r="63" spans="1:9" ht="18" customHeight="1" x14ac:dyDescent="0.3">
      <c r="A63" s="42" t="s">
        <v>184</v>
      </c>
      <c r="B63" s="9" t="s">
        <v>131</v>
      </c>
      <c r="C63" s="8" t="s">
        <v>136</v>
      </c>
      <c r="D63" s="9" t="s">
        <v>60</v>
      </c>
      <c r="E63" s="44">
        <v>46293</v>
      </c>
      <c r="F63" s="44">
        <v>46353</v>
      </c>
      <c r="G63" s="10">
        <v>199.54</v>
      </c>
      <c r="H63" s="10"/>
      <c r="I63" s="12">
        <f>IF($A63="","",IFERROR(MIN($H63/#REF!,1),0))</f>
        <v>0</v>
      </c>
    </row>
    <row r="64" spans="1:9" ht="18" customHeight="1" x14ac:dyDescent="0.3">
      <c r="A64" s="42" t="s">
        <v>185</v>
      </c>
      <c r="B64" s="9" t="s">
        <v>131</v>
      </c>
      <c r="C64" s="8" t="s">
        <v>136</v>
      </c>
      <c r="D64" s="9" t="s">
        <v>60</v>
      </c>
      <c r="E64" s="44">
        <v>46291</v>
      </c>
      <c r="F64" s="44">
        <v>46351</v>
      </c>
      <c r="G64" s="10">
        <v>569.83000000000004</v>
      </c>
      <c r="H64" s="10"/>
      <c r="I64" s="12">
        <f>IF($A64="","",IFERROR(MIN($H64/#REF!,1),0))</f>
        <v>0</v>
      </c>
    </row>
    <row r="65" spans="1:9" ht="18" customHeight="1" x14ac:dyDescent="0.3">
      <c r="A65" s="42" t="s">
        <v>186</v>
      </c>
      <c r="B65" s="9" t="s">
        <v>131</v>
      </c>
      <c r="C65" s="8" t="s">
        <v>137</v>
      </c>
      <c r="D65" s="9" t="s">
        <v>60</v>
      </c>
      <c r="E65" s="44">
        <v>46299</v>
      </c>
      <c r="F65" s="44">
        <v>46359</v>
      </c>
      <c r="G65" s="10">
        <v>417.01</v>
      </c>
      <c r="H65" s="10"/>
      <c r="I65" s="12">
        <f>IF($A65="","",IFERROR(MIN($H65/#REF!,1),0))</f>
        <v>0</v>
      </c>
    </row>
    <row r="66" spans="1:9" ht="18" customHeight="1" x14ac:dyDescent="0.3">
      <c r="A66" s="42" t="s">
        <v>187</v>
      </c>
      <c r="B66" s="9" t="s">
        <v>131</v>
      </c>
      <c r="C66" s="8" t="s">
        <v>137</v>
      </c>
      <c r="D66" s="9" t="s">
        <v>60</v>
      </c>
      <c r="E66" s="44">
        <v>46305</v>
      </c>
      <c r="F66" s="44">
        <v>46365</v>
      </c>
      <c r="G66" s="10">
        <v>170.01</v>
      </c>
      <c r="H66" s="10"/>
      <c r="I66" s="12">
        <f>IF($A66="","",IFERROR(MIN($H66/#REF!,1),0))</f>
        <v>0</v>
      </c>
    </row>
    <row r="67" spans="1:9" ht="18" customHeight="1" x14ac:dyDescent="0.3">
      <c r="A67" s="42" t="s">
        <v>188</v>
      </c>
      <c r="B67" s="9" t="s">
        <v>131</v>
      </c>
      <c r="C67" s="8" t="s">
        <v>136</v>
      </c>
      <c r="D67" s="9" t="s">
        <v>60</v>
      </c>
      <c r="E67" s="44">
        <v>46299</v>
      </c>
      <c r="F67" s="44">
        <v>46359</v>
      </c>
      <c r="G67" s="10">
        <v>405.21001999999999</v>
      </c>
      <c r="H67" s="10"/>
      <c r="I67" s="12">
        <f>IF($A67="","",IFERROR(MIN($H67/#REF!,1),0))</f>
        <v>0</v>
      </c>
    </row>
    <row r="68" spans="1:9" ht="18" customHeight="1" x14ac:dyDescent="0.3">
      <c r="A68" s="42" t="s">
        <v>189</v>
      </c>
      <c r="B68" s="9" t="s">
        <v>131</v>
      </c>
      <c r="C68" s="8" t="s">
        <v>136</v>
      </c>
      <c r="D68" s="9" t="s">
        <v>60</v>
      </c>
      <c r="E68" s="44">
        <v>46299</v>
      </c>
      <c r="F68" s="44">
        <v>46359</v>
      </c>
      <c r="G68" s="10">
        <v>343.86002000000002</v>
      </c>
      <c r="H68" s="10"/>
      <c r="I68" s="12">
        <f>IF($A68="","",IFERROR(MIN($H68/#REF!,1),0))</f>
        <v>0</v>
      </c>
    </row>
    <row r="69" spans="1:9" ht="18" customHeight="1" x14ac:dyDescent="0.3">
      <c r="A69" s="42" t="s">
        <v>190</v>
      </c>
      <c r="B69" s="9" t="s">
        <v>131</v>
      </c>
      <c r="C69" s="8" t="s">
        <v>136</v>
      </c>
      <c r="D69" s="9" t="s">
        <v>60</v>
      </c>
      <c r="E69" s="44">
        <v>46299</v>
      </c>
      <c r="F69" s="44">
        <v>46359</v>
      </c>
      <c r="G69" s="10">
        <v>210.86</v>
      </c>
      <c r="H69" s="10"/>
      <c r="I69" s="12">
        <f>IF($A69="","",IFERROR(MIN($H69/#REF!,1),0))</f>
        <v>0</v>
      </c>
    </row>
    <row r="70" spans="1:9" ht="21.75" hidden="1" customHeight="1" x14ac:dyDescent="0.3">
      <c r="A70" s="69" t="s">
        <v>61</v>
      </c>
      <c r="B70" s="69"/>
      <c r="C70" s="69"/>
      <c r="D70" s="69"/>
      <c r="E70" s="69"/>
      <c r="F70" s="69"/>
      <c r="G70" s="49">
        <f>SUM(G39:G69)</f>
        <v>14328.550040000002</v>
      </c>
      <c r="H70" s="20">
        <f>SUM(H39:H68)</f>
        <v>500</v>
      </c>
      <c r="I70" s="26">
        <f>IFERROR($H70/$G70,0)</f>
        <v>3.4895366146901488E-2</v>
      </c>
    </row>
    <row r="71" spans="1:9" ht="21.75" hidden="1" customHeight="1" x14ac:dyDescent="0.3">
      <c r="A71" s="72" t="s">
        <v>62</v>
      </c>
      <c r="B71" s="72"/>
      <c r="C71" s="72"/>
      <c r="D71" s="72"/>
      <c r="E71" s="72"/>
      <c r="F71" s="72"/>
      <c r="G71" s="72"/>
      <c r="H71" s="72"/>
      <c r="I71" s="72"/>
    </row>
    <row r="72" spans="1:9" ht="27.75" hidden="1" customHeight="1" x14ac:dyDescent="0.3">
      <c r="A72" s="27" t="s">
        <v>63</v>
      </c>
      <c r="B72" s="27" t="s">
        <v>64</v>
      </c>
      <c r="C72" s="27" t="s">
        <v>65</v>
      </c>
      <c r="D72" s="73" t="s">
        <v>66</v>
      </c>
      <c r="E72" s="73"/>
      <c r="F72" s="27" t="s">
        <v>67</v>
      </c>
      <c r="G72" s="27" t="s">
        <v>68</v>
      </c>
      <c r="H72" s="27" t="s">
        <v>69</v>
      </c>
      <c r="I72" s="27" t="s">
        <v>33</v>
      </c>
    </row>
    <row r="73" spans="1:9" ht="19.5" customHeight="1" x14ac:dyDescent="0.3">
      <c r="A73" s="57"/>
      <c r="B73" s="16"/>
      <c r="C73" s="16"/>
      <c r="D73" s="60"/>
      <c r="E73" s="60"/>
      <c r="F73" s="16"/>
      <c r="G73" s="58"/>
      <c r="H73" s="59"/>
      <c r="I73" s="61"/>
    </row>
    <row r="74" spans="1:9" ht="19.5" customHeight="1" x14ac:dyDescent="0.3">
      <c r="A74" s="8"/>
      <c r="B74" s="9"/>
      <c r="C74" s="9"/>
      <c r="D74" s="71"/>
      <c r="E74" s="71"/>
      <c r="F74" s="9"/>
      <c r="G74" s="24"/>
      <c r="H74" s="28" t="str">
        <f t="shared" ref="H74:H77" si="7">IF($A74="","",IF($I74="تم الحل","مغلق",IF($G74="","",$G$3-$G74)))</f>
        <v/>
      </c>
      <c r="I74" s="3"/>
    </row>
    <row r="75" spans="1:9" ht="19.5" customHeight="1" x14ac:dyDescent="0.3">
      <c r="A75" s="15"/>
      <c r="B75" s="16"/>
      <c r="C75" s="16"/>
      <c r="D75" s="70"/>
      <c r="E75" s="70"/>
      <c r="F75" s="16"/>
      <c r="G75" s="25"/>
      <c r="H75" s="29" t="str">
        <f t="shared" si="7"/>
        <v/>
      </c>
      <c r="I75" s="30"/>
    </row>
    <row r="76" spans="1:9" ht="19.5" customHeight="1" x14ac:dyDescent="0.3">
      <c r="A76" s="8"/>
      <c r="B76" s="9"/>
      <c r="C76" s="9"/>
      <c r="D76" s="71"/>
      <c r="E76" s="71"/>
      <c r="F76" s="9"/>
      <c r="G76" s="24"/>
      <c r="H76" s="28" t="str">
        <f t="shared" si="7"/>
        <v/>
      </c>
      <c r="I76" s="3"/>
    </row>
    <row r="77" spans="1:9" ht="19.5" customHeight="1" x14ac:dyDescent="0.3">
      <c r="A77" s="15"/>
      <c r="B77" s="16"/>
      <c r="C77" s="16"/>
      <c r="D77" s="70"/>
      <c r="E77" s="70"/>
      <c r="F77" s="16"/>
      <c r="G77" s="25"/>
      <c r="H77" s="29" t="str">
        <f t="shared" si="7"/>
        <v/>
      </c>
      <c r="I77" s="30"/>
    </row>
    <row r="78" spans="1:9" ht="21.75" customHeight="1" x14ac:dyDescent="0.3">
      <c r="A78" s="68" t="s">
        <v>78</v>
      </c>
      <c r="B78" s="68"/>
      <c r="C78" s="68"/>
      <c r="D78" s="68"/>
      <c r="E78" s="68"/>
      <c r="F78" s="68"/>
      <c r="G78" s="68"/>
      <c r="H78" s="68"/>
      <c r="I78" s="68"/>
    </row>
    <row r="79" spans="1:9" ht="25.5" customHeight="1" x14ac:dyDescent="0.3">
      <c r="A79" s="67"/>
      <c r="B79" s="67"/>
      <c r="C79" s="67"/>
      <c r="D79" s="67"/>
      <c r="E79" s="67"/>
      <c r="F79" s="67"/>
      <c r="G79" s="67"/>
      <c r="H79" s="67"/>
      <c r="I79" s="67"/>
    </row>
    <row r="80" spans="1:9" ht="21.75" customHeight="1" x14ac:dyDescent="0.3">
      <c r="A80" s="68" t="s">
        <v>79</v>
      </c>
      <c r="B80" s="68"/>
      <c r="C80" s="68"/>
      <c r="D80" s="68"/>
      <c r="E80" s="68"/>
      <c r="F80" s="68"/>
      <c r="G80" s="68"/>
      <c r="H80" s="68"/>
      <c r="I80" s="68"/>
    </row>
    <row r="81" spans="1:9" ht="19.5" customHeight="1" x14ac:dyDescent="0.3">
      <c r="A81" s="67"/>
      <c r="B81" s="67"/>
      <c r="C81" s="67"/>
      <c r="D81" s="67"/>
      <c r="E81" s="67"/>
      <c r="F81" s="67"/>
      <c r="G81" s="67"/>
      <c r="H81" s="67"/>
      <c r="I81" s="67"/>
    </row>
    <row r="82" spans="1:9" ht="19.5" customHeight="1" x14ac:dyDescent="0.3">
      <c r="A82" s="67"/>
      <c r="B82" s="67"/>
      <c r="C82" s="67"/>
      <c r="D82" s="67"/>
      <c r="E82" s="67"/>
      <c r="F82" s="67"/>
      <c r="G82" s="67"/>
      <c r="H82" s="67"/>
      <c r="I82" s="67"/>
    </row>
    <row r="83" spans="1:9" ht="19.5" customHeight="1" x14ac:dyDescent="0.3">
      <c r="A83" s="67"/>
      <c r="B83" s="67"/>
      <c r="C83" s="67"/>
      <c r="D83" s="67"/>
      <c r="E83" s="67"/>
      <c r="F83" s="67"/>
      <c r="G83" s="67"/>
      <c r="H83" s="67"/>
      <c r="I83" s="67"/>
    </row>
    <row r="84" spans="1:9" ht="21.75" customHeight="1" x14ac:dyDescent="0.3">
      <c r="A84" s="68" t="s">
        <v>80</v>
      </c>
      <c r="B84" s="68"/>
      <c r="C84" s="68"/>
      <c r="D84" s="68"/>
      <c r="E84" s="68"/>
      <c r="F84" s="68"/>
      <c r="G84" s="68"/>
      <c r="H84" s="68"/>
      <c r="I84" s="68"/>
    </row>
    <row r="85" spans="1:9" ht="13.5" customHeight="1" x14ac:dyDescent="0.3"/>
    <row r="86" spans="1:9" ht="13.5" customHeight="1" x14ac:dyDescent="0.3"/>
    <row r="87" spans="1:9" ht="13.5" customHeight="1" x14ac:dyDescent="0.3"/>
    <row r="88" spans="1:9" ht="13.5" customHeight="1" x14ac:dyDescent="0.3"/>
    <row r="89" spans="1:9" ht="13.5" customHeight="1" x14ac:dyDescent="0.3"/>
    <row r="90" spans="1:9" ht="13.5" customHeight="1" x14ac:dyDescent="0.3"/>
    <row r="91" spans="1:9" ht="13.5" customHeight="1" x14ac:dyDescent="0.3"/>
    <row r="92" spans="1:9" ht="13.5" customHeight="1" x14ac:dyDescent="0.3"/>
    <row r="93" spans="1:9" ht="13.5" customHeight="1" x14ac:dyDescent="0.3"/>
    <row r="94" spans="1:9" ht="13.5" customHeight="1" x14ac:dyDescent="0.3"/>
    <row r="95" spans="1:9" ht="13.5" customHeight="1" x14ac:dyDescent="0.3"/>
    <row r="96" spans="1:9" ht="13.5" customHeight="1" x14ac:dyDescent="0.3"/>
    <row r="97" spans="1:9" ht="13.5" customHeight="1" x14ac:dyDescent="0.3"/>
    <row r="98" spans="1:9" ht="25.5" customHeight="1" x14ac:dyDescent="0.3"/>
    <row r="99" spans="1:9" ht="15" customHeight="1" x14ac:dyDescent="0.3">
      <c r="A99" s="69" t="s">
        <v>81</v>
      </c>
      <c r="B99" s="69"/>
      <c r="C99" s="69"/>
      <c r="D99" s="69" t="s">
        <v>82</v>
      </c>
      <c r="E99" s="69"/>
      <c r="F99" s="69"/>
      <c r="G99" s="69" t="s">
        <v>127</v>
      </c>
      <c r="H99" s="69"/>
      <c r="I99" s="69"/>
    </row>
    <row r="100" spans="1:9" ht="33.75" customHeight="1" x14ac:dyDescent="0.3">
      <c r="A100" s="66" t="s">
        <v>138</v>
      </c>
      <c r="B100" s="66"/>
      <c r="C100" s="66"/>
      <c r="D100" s="66"/>
      <c r="E100" s="66"/>
      <c r="F100" s="66"/>
      <c r="G100" s="66"/>
      <c r="H100" s="66"/>
      <c r="I100" s="66"/>
    </row>
  </sheetData>
  <autoFilter ref="A38:K72" xr:uid="{00000000-0009-0000-0000-000000000000}">
    <filterColumn colId="3">
      <filters>
        <filter val="تم الإصدار"/>
      </filters>
    </filterColumn>
  </autoFilter>
  <mergeCells count="53">
    <mergeCell ref="A1:I1"/>
    <mergeCell ref="A2:I2"/>
    <mergeCell ref="B3:C3"/>
    <mergeCell ref="B4:E4"/>
    <mergeCell ref="G4:I4"/>
    <mergeCell ref="B5:I5"/>
    <mergeCell ref="B6:C6"/>
    <mergeCell ref="E6:F6"/>
    <mergeCell ref="H6:I6"/>
    <mergeCell ref="H7:I7"/>
    <mergeCell ref="A8:I8"/>
    <mergeCell ref="B9:C9"/>
    <mergeCell ref="F9:G9"/>
    <mergeCell ref="H9:I9"/>
    <mergeCell ref="B10:C10"/>
    <mergeCell ref="F10:G10"/>
    <mergeCell ref="H10:I10"/>
    <mergeCell ref="A11:I11"/>
    <mergeCell ref="A18:B18"/>
    <mergeCell ref="A19:I19"/>
    <mergeCell ref="H20:I20"/>
    <mergeCell ref="H21:I21"/>
    <mergeCell ref="H22:I22"/>
    <mergeCell ref="H23:I23"/>
    <mergeCell ref="H24:I24"/>
    <mergeCell ref="H25:I25"/>
    <mergeCell ref="H30:I30"/>
    <mergeCell ref="H26:I26"/>
    <mergeCell ref="H27:I27"/>
    <mergeCell ref="H28:I28"/>
    <mergeCell ref="H29:I29"/>
    <mergeCell ref="D74:E74"/>
    <mergeCell ref="D75:E75"/>
    <mergeCell ref="D76:E76"/>
    <mergeCell ref="H36:I36"/>
    <mergeCell ref="A37:I37"/>
    <mergeCell ref="A70:F70"/>
    <mergeCell ref="A71:I71"/>
    <mergeCell ref="D72:E72"/>
    <mergeCell ref="D77:E77"/>
    <mergeCell ref="A78:I78"/>
    <mergeCell ref="A79:I79"/>
    <mergeCell ref="A80:I80"/>
    <mergeCell ref="A81:I81"/>
    <mergeCell ref="A100:C100"/>
    <mergeCell ref="D100:F100"/>
    <mergeCell ref="G100:I100"/>
    <mergeCell ref="A82:I82"/>
    <mergeCell ref="A83:I83"/>
    <mergeCell ref="A84:I84"/>
    <mergeCell ref="A99:C99"/>
    <mergeCell ref="D99:F99"/>
    <mergeCell ref="G99:I99"/>
  </mergeCells>
  <conditionalFormatting sqref="E10">
    <cfRule type="cellIs" dxfId="6" priority="9" operator="equal">
      <formula>"متأخر"</formula>
    </cfRule>
    <cfRule type="cellIs" dxfId="5" priority="10" operator="equal">
      <formula>"وفق المخطط"</formula>
    </cfRule>
  </conditionalFormatting>
  <conditionalFormatting sqref="F21:F36">
    <cfRule type="dataBar" priority="3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{CCF965E3-BBC7-4B10-9E9C-2678A6801793}</x14:id>
        </ext>
      </extLst>
    </cfRule>
  </conditionalFormatting>
  <conditionalFormatting sqref="G13:G17">
    <cfRule type="dataBar" priority="2">
      <dataBar>
        <cfvo type="num" val="0"/>
        <cfvo type="num" val="1"/>
        <color rgb="FF148C7C"/>
      </dataBar>
      <extLst>
        <ext xmlns:x14="http://schemas.microsoft.com/office/spreadsheetml/2009/9/main" uri="{B025F937-C7B1-47D3-B67F-A62EFF666E3E}">
          <x14:id>{395BF1A5-2F4E-4BD8-97A8-55D9F2378024}</x14:id>
        </ext>
      </extLst>
    </cfRule>
  </conditionalFormatting>
  <conditionalFormatting sqref="I13:I17">
    <cfRule type="cellIs" dxfId="4" priority="4" operator="equal">
      <formula>"متأخر"</formula>
    </cfRule>
    <cfRule type="cellIs" dxfId="3" priority="5" operator="equal">
      <formula>"متقدم"</formula>
    </cfRule>
    <cfRule type="cellIs" dxfId="2" priority="6" operator="equal">
      <formula>"حسب المخطط"</formula>
    </cfRule>
    <cfRule type="cellIs" dxfId="1" priority="7" operator="equal">
      <formula>"تحت المتابعة"</formula>
    </cfRule>
  </conditionalFormatting>
  <conditionalFormatting sqref="I73:I77">
    <cfRule type="cellIs" dxfId="0" priority="8" operator="equal">
      <formula>"تم الحل"</formula>
    </cfRule>
  </conditionalFormatting>
  <pageMargins left="0.25" right="0.25" top="0.3" bottom="0.3" header="0.511811023622047" footer="0.511811023622047"/>
  <pageSetup paperSize="9" scale="57" orientation="portrait" horizontalDpi="300" verticalDpi="300" r:id="rId1"/>
  <headerFooter>
    <oddHeader>&amp;C&amp;K8B8000&amp;10&amp;"Calibri"Confidential External - مقيد (خارجي)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F965E3-BBC7-4B10-9E9C-2678A6801793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F21:F36</xm:sqref>
        </x14:conditionalFormatting>
        <x14:conditionalFormatting xmlns:xm="http://schemas.microsoft.com/office/excel/2006/main">
          <x14:cfRule type="dataBar" id="{395BF1A5-2F4E-4BD8-97A8-55D9F2378024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148C7C"/>
            </x14:dataBar>
          </x14:cfRule>
          <xm:sqref>G13:G17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8">
        <x14:dataValidation type="list" allowBlank="1" xr:uid="{00000000-0002-0000-0000-000000000000}">
          <x14:formula1>
            <xm:f>القوائم!$E$2:$E$3</xm:f>
          </x14:formula1>
          <x14:formula2>
            <xm:f>0</xm:f>
          </x14:formula2>
          <xm:sqref>E3</xm:sqref>
        </x14:dataValidation>
        <x14:dataValidation type="list" allowBlank="1" xr:uid="{00000000-0002-0000-0000-000001000000}">
          <x14:formula1>
            <xm:f>القوائم!$H$2:$H$7</xm:f>
          </x14:formula1>
          <x14:formula2>
            <xm:f>0</xm:f>
          </x14:formula2>
          <xm:sqref>B21:B27 B13:B17</xm:sqref>
        </x14:dataValidation>
        <x14:dataValidation type="list" allowBlank="1" xr:uid="{00000000-0002-0000-0000-000003000000}">
          <x14:formula1>
            <xm:f>القوائم!$D$2:$D$5</xm:f>
          </x14:formula1>
          <x14:formula2>
            <xm:f>0</xm:f>
          </x14:formula2>
          <xm:sqref>G21:G27</xm:sqref>
        </x14:dataValidation>
        <x14:dataValidation type="list" allowBlank="1" xr:uid="{00000000-0002-0000-0000-000005000000}">
          <x14:formula1>
            <xm:f>القوائم!$F$2:$F$9</xm:f>
          </x14:formula1>
          <x14:formula2>
            <xm:f>0</xm:f>
          </x14:formula2>
          <xm:sqref>B64:B69</xm:sqref>
        </x14:dataValidation>
        <x14:dataValidation type="list" allowBlank="1" xr:uid="{00000000-0002-0000-0000-000006000000}">
          <x14:formula1>
            <xm:f>القوائم!$G$2:$G$4</xm:f>
          </x14:formula1>
          <x14:formula2>
            <xm:f>0</xm:f>
          </x14:formula2>
          <xm:sqref>C64:C69</xm:sqref>
        </x14:dataValidation>
        <x14:dataValidation type="list" allowBlank="1" xr:uid="{00000000-0002-0000-0000-000007000000}">
          <x14:formula1>
            <xm:f>القوائم!$B$2:$B$8</xm:f>
          </x14:formula1>
          <x14:formula2>
            <xm:f>0</xm:f>
          </x14:formula2>
          <xm:sqref>I64:I69</xm:sqref>
        </x14:dataValidation>
        <x14:dataValidation type="list" allowBlank="1" xr:uid="{00000000-0002-0000-0000-000004000000}">
          <x14:formula1>
            <xm:f>القوائم!$C$2:$C$6</xm:f>
          </x14:formula1>
          <x14:formula2>
            <xm:f>0</xm:f>
          </x14:formula2>
          <xm:sqref>D30:D60</xm:sqref>
        </x14:dataValidation>
        <x14:dataValidation type="list" allowBlank="1" xr:uid="{00000000-0002-0000-0000-000002000000}">
          <x14:formula1>
            <xm:f>القوائم!$A$2:$A$8</xm:f>
          </x14:formula1>
          <x14:formula2>
            <xm:f>0</xm:f>
          </x14:formula2>
          <xm:sqref>I13:I17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F117"/>
  <sheetViews>
    <sheetView rightToLeft="1" workbookViewId="0">
      <pane ySplit="2" topLeftCell="A3" activePane="bottomLeft" state="frozen"/>
      <selection pane="bottomLeft" activeCell="B4" sqref="B4"/>
    </sheetView>
  </sheetViews>
  <sheetFormatPr defaultColWidth="8.6640625" defaultRowHeight="14.4" x14ac:dyDescent="0.3"/>
  <cols>
    <col min="1" max="1" width="14" customWidth="1"/>
    <col min="2" max="4" width="16" customWidth="1"/>
    <col min="5" max="5" width="48" customWidth="1"/>
    <col min="6" max="6" width="20" customWidth="1"/>
  </cols>
  <sheetData>
    <row r="1" spans="1:6" ht="30" customHeight="1" x14ac:dyDescent="0.3">
      <c r="A1" s="86" t="s">
        <v>83</v>
      </c>
      <c r="B1" s="86"/>
      <c r="C1" s="86"/>
      <c r="D1" s="86"/>
      <c r="E1" s="86"/>
      <c r="F1" s="86"/>
    </row>
    <row r="2" spans="1:6" ht="30" customHeight="1" x14ac:dyDescent="0.3">
      <c r="A2" s="31" t="s">
        <v>84</v>
      </c>
      <c r="B2" s="31" t="s">
        <v>85</v>
      </c>
      <c r="C2" s="31" t="s">
        <v>86</v>
      </c>
      <c r="D2" s="31" t="s">
        <v>87</v>
      </c>
      <c r="E2" s="31" t="s">
        <v>88</v>
      </c>
      <c r="F2" s="31" t="s">
        <v>89</v>
      </c>
    </row>
    <row r="3" spans="1:6" x14ac:dyDescent="0.3">
      <c r="A3" s="55">
        <v>46152</v>
      </c>
      <c r="B3" s="43">
        <v>6.3E-2</v>
      </c>
      <c r="C3" s="34">
        <v>500</v>
      </c>
      <c r="D3" s="34">
        <v>500</v>
      </c>
      <c r="E3" s="36" t="s">
        <v>161</v>
      </c>
      <c r="F3" s="36" t="s">
        <v>138</v>
      </c>
    </row>
    <row r="4" spans="1:6" x14ac:dyDescent="0.3">
      <c r="A4" s="32"/>
      <c r="B4" s="33"/>
      <c r="C4" s="34"/>
      <c r="D4" s="34"/>
      <c r="E4" s="36"/>
      <c r="F4" s="36"/>
    </row>
    <row r="5" spans="1:6" x14ac:dyDescent="0.3">
      <c r="A5" s="32"/>
      <c r="B5" s="33"/>
      <c r="C5" s="34"/>
      <c r="D5" s="34"/>
      <c r="E5" s="36"/>
      <c r="F5" s="36"/>
    </row>
    <row r="6" spans="1:6" x14ac:dyDescent="0.3">
      <c r="A6" s="32"/>
      <c r="B6" s="33"/>
      <c r="C6" s="34"/>
      <c r="D6" s="34"/>
      <c r="E6" s="35"/>
      <c r="F6" s="36"/>
    </row>
    <row r="7" spans="1:6" x14ac:dyDescent="0.3">
      <c r="A7" s="32"/>
      <c r="B7" s="33"/>
      <c r="C7" s="34"/>
      <c r="D7" s="34"/>
      <c r="E7" s="35"/>
      <c r="F7" s="36"/>
    </row>
    <row r="8" spans="1:6" x14ac:dyDescent="0.3">
      <c r="A8" s="32"/>
      <c r="B8" s="33"/>
      <c r="C8" s="34"/>
      <c r="D8" s="34"/>
      <c r="E8" s="35"/>
      <c r="F8" s="36"/>
    </row>
    <row r="9" spans="1:6" x14ac:dyDescent="0.3">
      <c r="A9" s="32"/>
      <c r="B9" s="33"/>
      <c r="C9" s="34"/>
      <c r="D9" s="34"/>
      <c r="E9" s="35"/>
      <c r="F9" s="36"/>
    </row>
    <row r="10" spans="1:6" x14ac:dyDescent="0.3">
      <c r="A10" s="32"/>
      <c r="B10" s="33"/>
      <c r="C10" s="34"/>
      <c r="D10" s="34"/>
      <c r="E10" s="35"/>
      <c r="F10" s="36"/>
    </row>
    <row r="11" spans="1:6" x14ac:dyDescent="0.3">
      <c r="A11" s="32"/>
      <c r="B11" s="33"/>
      <c r="C11" s="34"/>
      <c r="D11" s="34"/>
      <c r="E11" s="35"/>
      <c r="F11" s="36"/>
    </row>
    <row r="12" spans="1:6" x14ac:dyDescent="0.3">
      <c r="A12" s="32"/>
      <c r="B12" s="33"/>
      <c r="C12" s="34"/>
      <c r="D12" s="34"/>
      <c r="E12" s="35"/>
      <c r="F12" s="36"/>
    </row>
    <row r="13" spans="1:6" x14ac:dyDescent="0.3">
      <c r="A13" s="32"/>
      <c r="B13" s="33"/>
      <c r="C13" s="34"/>
      <c r="D13" s="34"/>
      <c r="E13" s="35"/>
      <c r="F13" s="36"/>
    </row>
    <row r="14" spans="1:6" x14ac:dyDescent="0.3">
      <c r="A14" s="32"/>
      <c r="B14" s="33"/>
      <c r="C14" s="34"/>
      <c r="D14" s="34"/>
      <c r="E14" s="35"/>
      <c r="F14" s="36"/>
    </row>
    <row r="15" spans="1:6" x14ac:dyDescent="0.3">
      <c r="A15" s="32"/>
      <c r="B15" s="33"/>
      <c r="C15" s="34"/>
      <c r="D15" s="34"/>
      <c r="E15" s="35"/>
      <c r="F15" s="36"/>
    </row>
    <row r="16" spans="1:6" x14ac:dyDescent="0.3">
      <c r="A16" s="32"/>
      <c r="B16" s="33"/>
      <c r="C16" s="34"/>
      <c r="D16" s="34"/>
      <c r="E16" s="35"/>
      <c r="F16" s="36"/>
    </row>
    <row r="17" spans="1:6" x14ac:dyDescent="0.3">
      <c r="A17" s="32"/>
      <c r="B17" s="33"/>
      <c r="C17" s="34"/>
      <c r="D17" s="34"/>
      <c r="E17" s="35"/>
      <c r="F17" s="36"/>
    </row>
    <row r="18" spans="1:6" x14ac:dyDescent="0.3">
      <c r="A18" s="32"/>
      <c r="B18" s="33"/>
      <c r="C18" s="34"/>
      <c r="D18" s="34"/>
      <c r="E18" s="35"/>
      <c r="F18" s="36"/>
    </row>
    <row r="19" spans="1:6" x14ac:dyDescent="0.3">
      <c r="A19" s="32"/>
      <c r="B19" s="33"/>
      <c r="C19" s="34"/>
      <c r="D19" s="34"/>
      <c r="E19" s="35"/>
      <c r="F19" s="36"/>
    </row>
    <row r="20" spans="1:6" x14ac:dyDescent="0.3">
      <c r="A20" s="32"/>
      <c r="B20" s="33"/>
      <c r="C20" s="34"/>
      <c r="D20" s="34"/>
      <c r="E20" s="35"/>
      <c r="F20" s="36"/>
    </row>
    <row r="21" spans="1:6" x14ac:dyDescent="0.3">
      <c r="A21" s="32"/>
      <c r="B21" s="33"/>
      <c r="C21" s="34"/>
      <c r="D21" s="34"/>
      <c r="E21" s="35"/>
      <c r="F21" s="36"/>
    </row>
    <row r="22" spans="1:6" x14ac:dyDescent="0.3">
      <c r="A22" s="32"/>
      <c r="B22" s="33"/>
      <c r="C22" s="34"/>
      <c r="D22" s="34"/>
      <c r="E22" s="35"/>
      <c r="F22" s="36"/>
    </row>
    <row r="23" spans="1:6" x14ac:dyDescent="0.3">
      <c r="A23" s="32"/>
      <c r="B23" s="33"/>
      <c r="C23" s="34"/>
      <c r="D23" s="34"/>
      <c r="E23" s="35"/>
      <c r="F23" s="36"/>
    </row>
    <row r="24" spans="1:6" x14ac:dyDescent="0.3">
      <c r="A24" s="32"/>
      <c r="B24" s="33"/>
      <c r="C24" s="34"/>
      <c r="D24" s="34"/>
      <c r="E24" s="35"/>
      <c r="F24" s="36"/>
    </row>
    <row r="25" spans="1:6" x14ac:dyDescent="0.3">
      <c r="A25" s="32"/>
      <c r="B25" s="33"/>
      <c r="C25" s="34"/>
      <c r="D25" s="34"/>
      <c r="E25" s="35"/>
      <c r="F25" s="36"/>
    </row>
    <row r="26" spans="1:6" x14ac:dyDescent="0.3">
      <c r="A26" s="32"/>
      <c r="B26" s="33"/>
      <c r="C26" s="34"/>
      <c r="D26" s="34"/>
      <c r="E26" s="35"/>
      <c r="F26" s="36"/>
    </row>
    <row r="27" spans="1:6" x14ac:dyDescent="0.3">
      <c r="A27" s="32"/>
      <c r="B27" s="33"/>
      <c r="C27" s="34"/>
      <c r="D27" s="34"/>
      <c r="E27" s="35"/>
      <c r="F27" s="36"/>
    </row>
    <row r="28" spans="1:6" x14ac:dyDescent="0.3">
      <c r="A28" s="32"/>
      <c r="B28" s="33"/>
      <c r="C28" s="34"/>
      <c r="D28" s="34"/>
      <c r="E28" s="35"/>
      <c r="F28" s="36"/>
    </row>
    <row r="29" spans="1:6" x14ac:dyDescent="0.3">
      <c r="A29" s="32"/>
      <c r="B29" s="33"/>
      <c r="C29" s="34"/>
      <c r="D29" s="34"/>
      <c r="E29" s="35"/>
      <c r="F29" s="36"/>
    </row>
    <row r="30" spans="1:6" x14ac:dyDescent="0.3">
      <c r="A30" s="32"/>
      <c r="B30" s="33"/>
      <c r="C30" s="34"/>
      <c r="D30" s="34"/>
      <c r="E30" s="35"/>
      <c r="F30" s="36"/>
    </row>
    <row r="31" spans="1:6" x14ac:dyDescent="0.3">
      <c r="A31" s="32"/>
      <c r="B31" s="33"/>
      <c r="C31" s="34"/>
      <c r="D31" s="34"/>
      <c r="E31" s="35"/>
      <c r="F31" s="36"/>
    </row>
    <row r="32" spans="1:6" x14ac:dyDescent="0.3">
      <c r="A32" s="32"/>
      <c r="B32" s="33"/>
      <c r="C32" s="34"/>
      <c r="D32" s="34"/>
      <c r="E32" s="35"/>
      <c r="F32" s="36"/>
    </row>
    <row r="33" spans="1:6" x14ac:dyDescent="0.3">
      <c r="A33" s="32"/>
      <c r="B33" s="33"/>
      <c r="C33" s="34"/>
      <c r="D33" s="34"/>
      <c r="E33" s="35"/>
      <c r="F33" s="36"/>
    </row>
    <row r="34" spans="1:6" x14ac:dyDescent="0.3">
      <c r="A34" s="32"/>
      <c r="B34" s="33"/>
      <c r="C34" s="34"/>
      <c r="D34" s="34"/>
      <c r="E34" s="35"/>
      <c r="F34" s="36"/>
    </row>
    <row r="35" spans="1:6" x14ac:dyDescent="0.3">
      <c r="A35" s="32"/>
      <c r="B35" s="33"/>
      <c r="C35" s="34"/>
      <c r="D35" s="34"/>
      <c r="E35" s="35"/>
      <c r="F35" s="36"/>
    </row>
    <row r="36" spans="1:6" x14ac:dyDescent="0.3">
      <c r="A36" s="32"/>
      <c r="B36" s="33"/>
      <c r="C36" s="34"/>
      <c r="D36" s="34"/>
      <c r="E36" s="35"/>
      <c r="F36" s="36"/>
    </row>
    <row r="37" spans="1:6" x14ac:dyDescent="0.3">
      <c r="A37" s="32"/>
      <c r="B37" s="33"/>
      <c r="C37" s="34"/>
      <c r="D37" s="34"/>
      <c r="E37" s="35"/>
      <c r="F37" s="36"/>
    </row>
    <row r="38" spans="1:6" x14ac:dyDescent="0.3">
      <c r="A38" s="32"/>
      <c r="B38" s="33"/>
      <c r="C38" s="34"/>
      <c r="D38" s="34"/>
      <c r="E38" s="35"/>
      <c r="F38" s="36"/>
    </row>
    <row r="39" spans="1:6" x14ac:dyDescent="0.3">
      <c r="A39" s="32"/>
      <c r="B39" s="33"/>
      <c r="C39" s="34"/>
      <c r="D39" s="34"/>
      <c r="E39" s="35"/>
      <c r="F39" s="36"/>
    </row>
    <row r="40" spans="1:6" x14ac:dyDescent="0.3">
      <c r="A40" s="32"/>
      <c r="B40" s="33"/>
      <c r="C40" s="34"/>
      <c r="D40" s="34"/>
      <c r="E40" s="35"/>
      <c r="F40" s="36"/>
    </row>
    <row r="41" spans="1:6" x14ac:dyDescent="0.3">
      <c r="A41" s="32"/>
      <c r="B41" s="33"/>
      <c r="C41" s="34"/>
      <c r="D41" s="34"/>
      <c r="E41" s="35"/>
      <c r="F41" s="36"/>
    </row>
    <row r="42" spans="1:6" x14ac:dyDescent="0.3">
      <c r="A42" s="32"/>
      <c r="B42" s="33"/>
      <c r="C42" s="34"/>
      <c r="D42" s="34"/>
      <c r="E42" s="35"/>
      <c r="F42" s="36"/>
    </row>
    <row r="43" spans="1:6" x14ac:dyDescent="0.3">
      <c r="A43" s="32"/>
      <c r="B43" s="33"/>
      <c r="C43" s="34"/>
      <c r="D43" s="34"/>
      <c r="E43" s="35"/>
      <c r="F43" s="36"/>
    </row>
    <row r="44" spans="1:6" x14ac:dyDescent="0.3">
      <c r="A44" s="32"/>
      <c r="B44" s="33"/>
      <c r="C44" s="34"/>
      <c r="D44" s="34"/>
      <c r="E44" s="35"/>
      <c r="F44" s="36"/>
    </row>
    <row r="45" spans="1:6" x14ac:dyDescent="0.3">
      <c r="A45" s="32"/>
      <c r="B45" s="33"/>
      <c r="C45" s="34"/>
      <c r="D45" s="34"/>
      <c r="E45" s="35"/>
      <c r="F45" s="36"/>
    </row>
    <row r="46" spans="1:6" x14ac:dyDescent="0.3">
      <c r="A46" s="32"/>
      <c r="B46" s="33"/>
      <c r="C46" s="34"/>
      <c r="D46" s="34"/>
      <c r="E46" s="35"/>
      <c r="F46" s="36"/>
    </row>
    <row r="47" spans="1:6" x14ac:dyDescent="0.3">
      <c r="A47" s="32"/>
      <c r="B47" s="33"/>
      <c r="C47" s="34"/>
      <c r="D47" s="34"/>
      <c r="E47" s="35"/>
      <c r="F47" s="36"/>
    </row>
    <row r="48" spans="1:6" x14ac:dyDescent="0.3">
      <c r="A48" s="32"/>
      <c r="B48" s="33"/>
      <c r="C48" s="34"/>
      <c r="D48" s="34"/>
      <c r="E48" s="35"/>
      <c r="F48" s="36"/>
    </row>
    <row r="49" spans="1:6" x14ac:dyDescent="0.3">
      <c r="A49" s="32"/>
      <c r="B49" s="33"/>
      <c r="C49" s="34"/>
      <c r="D49" s="34"/>
      <c r="E49" s="35"/>
      <c r="F49" s="36"/>
    </row>
    <row r="50" spans="1:6" x14ac:dyDescent="0.3">
      <c r="A50" s="32"/>
      <c r="B50" s="33"/>
      <c r="C50" s="34"/>
      <c r="D50" s="34"/>
      <c r="E50" s="35"/>
      <c r="F50" s="36"/>
    </row>
    <row r="51" spans="1:6" x14ac:dyDescent="0.3">
      <c r="A51" s="32"/>
      <c r="B51" s="33"/>
      <c r="C51" s="34"/>
      <c r="D51" s="34"/>
      <c r="E51" s="35"/>
      <c r="F51" s="36"/>
    </row>
    <row r="52" spans="1:6" x14ac:dyDescent="0.3">
      <c r="A52" s="32"/>
      <c r="B52" s="33"/>
      <c r="C52" s="34"/>
      <c r="D52" s="34"/>
      <c r="E52" s="35"/>
      <c r="F52" s="36"/>
    </row>
    <row r="53" spans="1:6" x14ac:dyDescent="0.3">
      <c r="A53" s="32"/>
      <c r="B53" s="33"/>
      <c r="C53" s="34"/>
      <c r="D53" s="34"/>
      <c r="E53" s="35"/>
      <c r="F53" s="36"/>
    </row>
    <row r="54" spans="1:6" x14ac:dyDescent="0.3">
      <c r="A54" s="32"/>
      <c r="B54" s="33"/>
      <c r="C54" s="34"/>
      <c r="D54" s="34"/>
      <c r="E54" s="35"/>
      <c r="F54" s="36"/>
    </row>
    <row r="55" spans="1:6" x14ac:dyDescent="0.3">
      <c r="A55" s="32"/>
      <c r="B55" s="33"/>
      <c r="C55" s="34"/>
      <c r="D55" s="34"/>
      <c r="E55" s="35"/>
      <c r="F55" s="36"/>
    </row>
    <row r="56" spans="1:6" x14ac:dyDescent="0.3">
      <c r="A56" s="32"/>
      <c r="B56" s="33"/>
      <c r="C56" s="34"/>
      <c r="D56" s="34"/>
      <c r="E56" s="35"/>
      <c r="F56" s="36"/>
    </row>
    <row r="57" spans="1:6" x14ac:dyDescent="0.3">
      <c r="A57" s="32"/>
      <c r="B57" s="33"/>
      <c r="C57" s="34"/>
      <c r="D57" s="34"/>
      <c r="E57" s="35"/>
      <c r="F57" s="36"/>
    </row>
    <row r="58" spans="1:6" x14ac:dyDescent="0.3">
      <c r="A58" s="32"/>
      <c r="B58" s="33"/>
      <c r="C58" s="34"/>
      <c r="D58" s="34"/>
      <c r="E58" s="35"/>
      <c r="F58" s="36"/>
    </row>
    <row r="59" spans="1:6" x14ac:dyDescent="0.3">
      <c r="A59" s="32"/>
      <c r="B59" s="33"/>
      <c r="C59" s="34"/>
      <c r="D59" s="34"/>
      <c r="E59" s="35"/>
      <c r="F59" s="36"/>
    </row>
    <row r="60" spans="1:6" x14ac:dyDescent="0.3">
      <c r="A60" s="32"/>
      <c r="B60" s="33"/>
      <c r="C60" s="34"/>
      <c r="D60" s="34"/>
      <c r="E60" s="35"/>
      <c r="F60" s="36"/>
    </row>
    <row r="61" spans="1:6" x14ac:dyDescent="0.3">
      <c r="A61" s="32"/>
      <c r="B61" s="33"/>
      <c r="C61" s="34"/>
      <c r="D61" s="34"/>
      <c r="E61" s="35"/>
      <c r="F61" s="36"/>
    </row>
    <row r="62" spans="1:6" x14ac:dyDescent="0.3">
      <c r="A62" s="32"/>
      <c r="B62" s="33"/>
      <c r="C62" s="34"/>
      <c r="D62" s="34"/>
      <c r="E62" s="35"/>
      <c r="F62" s="36"/>
    </row>
    <row r="63" spans="1:6" x14ac:dyDescent="0.3">
      <c r="A63" s="32"/>
      <c r="B63" s="33"/>
      <c r="C63" s="34"/>
      <c r="D63" s="34"/>
      <c r="E63" s="35"/>
      <c r="F63" s="36"/>
    </row>
    <row r="64" spans="1:6" x14ac:dyDescent="0.3">
      <c r="A64" s="32"/>
      <c r="B64" s="33"/>
      <c r="C64" s="34"/>
      <c r="D64" s="34"/>
      <c r="E64" s="35"/>
      <c r="F64" s="36"/>
    </row>
    <row r="65" spans="1:6" x14ac:dyDescent="0.3">
      <c r="A65" s="32"/>
      <c r="B65" s="33"/>
      <c r="C65" s="34"/>
      <c r="D65" s="34"/>
      <c r="E65" s="35"/>
      <c r="F65" s="36"/>
    </row>
    <row r="66" spans="1:6" x14ac:dyDescent="0.3">
      <c r="A66" s="32"/>
      <c r="B66" s="33"/>
      <c r="C66" s="34"/>
      <c r="D66" s="34"/>
      <c r="E66" s="35"/>
      <c r="F66" s="36"/>
    </row>
    <row r="67" spans="1:6" x14ac:dyDescent="0.3">
      <c r="A67" s="32"/>
      <c r="B67" s="33"/>
      <c r="C67" s="34"/>
      <c r="D67" s="34"/>
      <c r="E67" s="35"/>
      <c r="F67" s="36"/>
    </row>
    <row r="68" spans="1:6" x14ac:dyDescent="0.3">
      <c r="A68" s="32"/>
      <c r="B68" s="33"/>
      <c r="C68" s="34"/>
      <c r="D68" s="34"/>
      <c r="E68" s="35"/>
      <c r="F68" s="36"/>
    </row>
    <row r="69" spans="1:6" x14ac:dyDescent="0.3">
      <c r="A69" s="32"/>
      <c r="B69" s="33"/>
      <c r="C69" s="34"/>
      <c r="D69" s="34"/>
      <c r="E69" s="35"/>
      <c r="F69" s="36"/>
    </row>
    <row r="70" spans="1:6" x14ac:dyDescent="0.3">
      <c r="A70" s="32"/>
      <c r="B70" s="33"/>
      <c r="C70" s="34"/>
      <c r="D70" s="34"/>
      <c r="E70" s="35"/>
      <c r="F70" s="36"/>
    </row>
    <row r="71" spans="1:6" x14ac:dyDescent="0.3">
      <c r="A71" s="32"/>
      <c r="B71" s="33"/>
      <c r="C71" s="34"/>
      <c r="D71" s="34"/>
      <c r="E71" s="35"/>
      <c r="F71" s="36"/>
    </row>
    <row r="72" spans="1:6" x14ac:dyDescent="0.3">
      <c r="A72" s="32"/>
      <c r="B72" s="33"/>
      <c r="C72" s="34"/>
      <c r="D72" s="34"/>
      <c r="E72" s="35"/>
      <c r="F72" s="36"/>
    </row>
    <row r="73" spans="1:6" x14ac:dyDescent="0.3">
      <c r="A73" s="32"/>
      <c r="B73" s="33"/>
      <c r="C73" s="34"/>
      <c r="D73" s="34"/>
      <c r="E73" s="35"/>
      <c r="F73" s="36"/>
    </row>
    <row r="74" spans="1:6" x14ac:dyDescent="0.3">
      <c r="A74" s="32"/>
      <c r="B74" s="33"/>
      <c r="C74" s="34"/>
      <c r="D74" s="34"/>
      <c r="E74" s="35"/>
      <c r="F74" s="36"/>
    </row>
    <row r="75" spans="1:6" x14ac:dyDescent="0.3">
      <c r="A75" s="32"/>
      <c r="B75" s="33"/>
      <c r="C75" s="34"/>
      <c r="D75" s="34"/>
      <c r="E75" s="35"/>
      <c r="F75" s="36"/>
    </row>
    <row r="76" spans="1:6" x14ac:dyDescent="0.3">
      <c r="A76" s="32"/>
      <c r="B76" s="33"/>
      <c r="C76" s="34"/>
      <c r="D76" s="34"/>
      <c r="E76" s="35"/>
      <c r="F76" s="36"/>
    </row>
    <row r="77" spans="1:6" x14ac:dyDescent="0.3">
      <c r="A77" s="32"/>
      <c r="B77" s="33"/>
      <c r="C77" s="34"/>
      <c r="D77" s="34"/>
      <c r="E77" s="35"/>
      <c r="F77" s="36"/>
    </row>
    <row r="78" spans="1:6" x14ac:dyDescent="0.3">
      <c r="A78" s="32"/>
      <c r="B78" s="33"/>
      <c r="C78" s="34"/>
      <c r="D78" s="34"/>
      <c r="E78" s="35"/>
      <c r="F78" s="36"/>
    </row>
    <row r="79" spans="1:6" x14ac:dyDescent="0.3">
      <c r="A79" s="32"/>
      <c r="B79" s="33"/>
      <c r="C79" s="34"/>
      <c r="D79" s="34"/>
      <c r="E79" s="35"/>
      <c r="F79" s="36"/>
    </row>
    <row r="80" spans="1:6" x14ac:dyDescent="0.3">
      <c r="A80" s="32"/>
      <c r="B80" s="33"/>
      <c r="C80" s="34"/>
      <c r="D80" s="34"/>
      <c r="E80" s="35"/>
      <c r="F80" s="36"/>
    </row>
    <row r="81" spans="1:6" x14ac:dyDescent="0.3">
      <c r="A81" s="32"/>
      <c r="B81" s="33"/>
      <c r="C81" s="34"/>
      <c r="D81" s="34"/>
      <c r="E81" s="35"/>
      <c r="F81" s="36"/>
    </row>
    <row r="82" spans="1:6" x14ac:dyDescent="0.3">
      <c r="A82" s="32"/>
      <c r="B82" s="33"/>
      <c r="C82" s="34"/>
      <c r="D82" s="34"/>
      <c r="E82" s="35"/>
      <c r="F82" s="36"/>
    </row>
    <row r="83" spans="1:6" x14ac:dyDescent="0.3">
      <c r="A83" s="32"/>
      <c r="B83" s="33"/>
      <c r="C83" s="34"/>
      <c r="D83" s="34"/>
      <c r="E83" s="35"/>
      <c r="F83" s="36"/>
    </row>
    <row r="84" spans="1:6" x14ac:dyDescent="0.3">
      <c r="A84" s="32"/>
      <c r="B84" s="33"/>
      <c r="C84" s="34"/>
      <c r="D84" s="34"/>
      <c r="E84" s="35"/>
      <c r="F84" s="36"/>
    </row>
    <row r="85" spans="1:6" x14ac:dyDescent="0.3">
      <c r="A85" s="32"/>
      <c r="B85" s="33"/>
      <c r="C85" s="34"/>
      <c r="D85" s="34"/>
      <c r="E85" s="35"/>
      <c r="F85" s="36"/>
    </row>
    <row r="86" spans="1:6" x14ac:dyDescent="0.3">
      <c r="A86" s="32"/>
      <c r="B86" s="33"/>
      <c r="C86" s="34"/>
      <c r="D86" s="34"/>
      <c r="E86" s="35"/>
      <c r="F86" s="36"/>
    </row>
    <row r="87" spans="1:6" x14ac:dyDescent="0.3">
      <c r="A87" s="32"/>
      <c r="B87" s="33"/>
      <c r="C87" s="34"/>
      <c r="D87" s="34"/>
      <c r="E87" s="35"/>
      <c r="F87" s="36"/>
    </row>
    <row r="88" spans="1:6" x14ac:dyDescent="0.3">
      <c r="A88" s="32"/>
      <c r="B88" s="33"/>
      <c r="C88" s="34"/>
      <c r="D88" s="34"/>
      <c r="E88" s="35"/>
      <c r="F88" s="36"/>
    </row>
    <row r="89" spans="1:6" x14ac:dyDescent="0.3">
      <c r="A89" s="32"/>
      <c r="B89" s="33"/>
      <c r="C89" s="34"/>
      <c r="D89" s="34"/>
      <c r="E89" s="35"/>
      <c r="F89" s="36"/>
    </row>
    <row r="90" spans="1:6" x14ac:dyDescent="0.3">
      <c r="A90" s="32"/>
      <c r="B90" s="33"/>
      <c r="C90" s="34"/>
      <c r="D90" s="34"/>
      <c r="E90" s="35"/>
      <c r="F90" s="36"/>
    </row>
    <row r="91" spans="1:6" x14ac:dyDescent="0.3">
      <c r="A91" s="32"/>
      <c r="B91" s="33"/>
      <c r="C91" s="34"/>
      <c r="D91" s="34"/>
      <c r="E91" s="35"/>
      <c r="F91" s="36"/>
    </row>
    <row r="92" spans="1:6" x14ac:dyDescent="0.3">
      <c r="A92" s="32"/>
      <c r="B92" s="33"/>
      <c r="C92" s="34"/>
      <c r="D92" s="34"/>
      <c r="E92" s="35"/>
      <c r="F92" s="36"/>
    </row>
    <row r="93" spans="1:6" x14ac:dyDescent="0.3">
      <c r="A93" s="32"/>
      <c r="B93" s="33"/>
      <c r="C93" s="34"/>
      <c r="D93" s="34"/>
      <c r="E93" s="35"/>
      <c r="F93" s="36"/>
    </row>
    <row r="94" spans="1:6" x14ac:dyDescent="0.3">
      <c r="A94" s="32"/>
      <c r="B94" s="33"/>
      <c r="C94" s="34"/>
      <c r="D94" s="34"/>
      <c r="E94" s="35"/>
      <c r="F94" s="36"/>
    </row>
    <row r="95" spans="1:6" x14ac:dyDescent="0.3">
      <c r="A95" s="32"/>
      <c r="B95" s="33"/>
      <c r="C95" s="34"/>
      <c r="D95" s="34"/>
      <c r="E95" s="35"/>
      <c r="F95" s="36"/>
    </row>
    <row r="96" spans="1:6" x14ac:dyDescent="0.3">
      <c r="A96" s="32"/>
      <c r="B96" s="33"/>
      <c r="C96" s="34"/>
      <c r="D96" s="34"/>
      <c r="E96" s="35"/>
      <c r="F96" s="36"/>
    </row>
    <row r="97" spans="1:6" x14ac:dyDescent="0.3">
      <c r="A97" s="32"/>
      <c r="B97" s="33"/>
      <c r="C97" s="34"/>
      <c r="D97" s="34"/>
      <c r="E97" s="35"/>
      <c r="F97" s="36"/>
    </row>
    <row r="98" spans="1:6" x14ac:dyDescent="0.3">
      <c r="A98" s="32"/>
      <c r="B98" s="33"/>
      <c r="C98" s="34"/>
      <c r="D98" s="34"/>
      <c r="E98" s="35"/>
      <c r="F98" s="36"/>
    </row>
    <row r="99" spans="1:6" x14ac:dyDescent="0.3">
      <c r="A99" s="32"/>
      <c r="B99" s="33"/>
      <c r="C99" s="34"/>
      <c r="D99" s="34"/>
      <c r="E99" s="35"/>
      <c r="F99" s="36"/>
    </row>
    <row r="100" spans="1:6" x14ac:dyDescent="0.3">
      <c r="A100" s="32"/>
      <c r="B100" s="33"/>
      <c r="C100" s="34"/>
      <c r="D100" s="34"/>
      <c r="E100" s="35"/>
      <c r="F100" s="36"/>
    </row>
    <row r="101" spans="1:6" x14ac:dyDescent="0.3">
      <c r="A101" s="32"/>
      <c r="B101" s="33"/>
      <c r="C101" s="34"/>
      <c r="D101" s="34"/>
      <c r="E101" s="35"/>
      <c r="F101" s="36"/>
    </row>
    <row r="102" spans="1:6" x14ac:dyDescent="0.3">
      <c r="A102" s="32"/>
      <c r="B102" s="33"/>
      <c r="C102" s="34"/>
      <c r="D102" s="34"/>
      <c r="E102" s="35"/>
      <c r="F102" s="36"/>
    </row>
    <row r="103" spans="1:6" x14ac:dyDescent="0.3">
      <c r="A103" s="32"/>
      <c r="B103" s="33"/>
      <c r="C103" s="34"/>
      <c r="D103" s="34"/>
      <c r="E103" s="35"/>
      <c r="F103" s="36"/>
    </row>
    <row r="104" spans="1:6" x14ac:dyDescent="0.3">
      <c r="A104" s="32"/>
      <c r="B104" s="33"/>
      <c r="C104" s="34"/>
      <c r="D104" s="34"/>
      <c r="E104" s="35"/>
      <c r="F104" s="36"/>
    </row>
    <row r="105" spans="1:6" x14ac:dyDescent="0.3">
      <c r="A105" s="32"/>
      <c r="B105" s="33"/>
      <c r="C105" s="34"/>
      <c r="D105" s="34"/>
      <c r="E105" s="35"/>
      <c r="F105" s="36"/>
    </row>
    <row r="106" spans="1:6" x14ac:dyDescent="0.3">
      <c r="A106" s="32"/>
      <c r="B106" s="33"/>
      <c r="C106" s="34"/>
      <c r="D106" s="34"/>
      <c r="E106" s="35"/>
      <c r="F106" s="36"/>
    </row>
    <row r="107" spans="1:6" x14ac:dyDescent="0.3">
      <c r="A107" s="32"/>
      <c r="B107" s="33"/>
      <c r="C107" s="34"/>
      <c r="D107" s="34"/>
      <c r="E107" s="35"/>
      <c r="F107" s="36"/>
    </row>
    <row r="108" spans="1:6" x14ac:dyDescent="0.3">
      <c r="A108" s="32"/>
      <c r="B108" s="33"/>
      <c r="C108" s="34"/>
      <c r="D108" s="34"/>
      <c r="E108" s="35"/>
      <c r="F108" s="36"/>
    </row>
    <row r="109" spans="1:6" x14ac:dyDescent="0.3">
      <c r="A109" s="32"/>
      <c r="B109" s="33"/>
      <c r="C109" s="34"/>
      <c r="D109" s="34"/>
      <c r="E109" s="35"/>
      <c r="F109" s="36"/>
    </row>
    <row r="110" spans="1:6" x14ac:dyDescent="0.3">
      <c r="A110" s="32"/>
      <c r="B110" s="33"/>
      <c r="C110" s="34"/>
      <c r="D110" s="34"/>
      <c r="E110" s="35"/>
      <c r="F110" s="36"/>
    </row>
    <row r="111" spans="1:6" x14ac:dyDescent="0.3">
      <c r="A111" s="32"/>
      <c r="B111" s="33"/>
      <c r="C111" s="34"/>
      <c r="D111" s="34"/>
      <c r="E111" s="35"/>
      <c r="F111" s="36"/>
    </row>
    <row r="112" spans="1:6" x14ac:dyDescent="0.3">
      <c r="A112" s="32"/>
      <c r="B112" s="33"/>
      <c r="C112" s="34"/>
      <c r="D112" s="34"/>
      <c r="E112" s="35"/>
      <c r="F112" s="36"/>
    </row>
    <row r="113" spans="1:6" x14ac:dyDescent="0.3">
      <c r="A113" s="32"/>
      <c r="B113" s="33"/>
      <c r="C113" s="34"/>
      <c r="D113" s="34"/>
      <c r="E113" s="35"/>
      <c r="F113" s="36"/>
    </row>
    <row r="114" spans="1:6" x14ac:dyDescent="0.3">
      <c r="A114" s="32"/>
      <c r="B114" s="33"/>
      <c r="C114" s="34"/>
      <c r="D114" s="34"/>
      <c r="E114" s="35"/>
      <c r="F114" s="36"/>
    </row>
    <row r="115" spans="1:6" x14ac:dyDescent="0.3">
      <c r="A115" s="32"/>
      <c r="B115" s="33"/>
      <c r="C115" s="34"/>
      <c r="D115" s="34"/>
      <c r="E115" s="35"/>
      <c r="F115" s="36"/>
    </row>
    <row r="116" spans="1:6" x14ac:dyDescent="0.3">
      <c r="A116" s="32"/>
      <c r="B116" s="33"/>
      <c r="C116" s="34"/>
      <c r="D116" s="34"/>
      <c r="E116" s="35"/>
      <c r="F116" s="36"/>
    </row>
    <row r="117" spans="1:6" x14ac:dyDescent="0.3">
      <c r="A117" s="32"/>
      <c r="B117" s="33"/>
      <c r="C117" s="34"/>
      <c r="D117" s="34"/>
      <c r="E117" s="35"/>
      <c r="F117" s="36"/>
    </row>
  </sheetData>
  <mergeCells count="1">
    <mergeCell ref="A1:F1"/>
  </mergeCells>
  <phoneticPr fontId="22" type="noConversion"/>
  <pageMargins left="0.75" right="0.75" top="1" bottom="1" header="0.511811023622047" footer="0.511811023622047"/>
  <pageSetup paperSize="9" orientation="portrait" horizontalDpi="300" verticalDpi="300" r:id="rId1"/>
  <headerFooter>
    <oddHeader>&amp;C&amp;K8B8000&amp;10&amp;"Calibri"Confidential External - مقيد (خارجي)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D25"/>
  <sheetViews>
    <sheetView showGridLines="0" rightToLeft="1" zoomScale="85" zoomScaleNormal="85" workbookViewId="0">
      <selection activeCell="C30" sqref="C30"/>
    </sheetView>
  </sheetViews>
  <sheetFormatPr defaultColWidth="8.6640625" defaultRowHeight="14.4" x14ac:dyDescent="0.3"/>
  <cols>
    <col min="1" max="4" width="30" customWidth="1"/>
  </cols>
  <sheetData>
    <row r="1" spans="1:4" ht="27.75" customHeight="1" x14ac:dyDescent="0.3">
      <c r="A1" s="87" t="s">
        <v>90</v>
      </c>
      <c r="B1" s="87"/>
      <c r="C1" s="87"/>
      <c r="D1" s="87"/>
    </row>
    <row r="3" spans="1:4" ht="18" customHeight="1" x14ac:dyDescent="0.3">
      <c r="A3" s="37"/>
      <c r="B3" s="37"/>
      <c r="C3" s="37"/>
      <c r="D3" s="37"/>
    </row>
    <row r="4" spans="1:4" ht="18" customHeight="1" x14ac:dyDescent="0.3">
      <c r="A4" s="38"/>
      <c r="B4" s="38"/>
      <c r="C4" s="38"/>
      <c r="D4" s="38"/>
    </row>
    <row r="5" spans="1:4" ht="18" customHeight="1" x14ac:dyDescent="0.3">
      <c r="A5" s="38"/>
      <c r="B5" s="38"/>
      <c r="C5" s="38"/>
      <c r="D5" s="38"/>
    </row>
    <row r="6" spans="1:4" ht="18" customHeight="1" x14ac:dyDescent="0.3">
      <c r="A6" s="38"/>
      <c r="B6" s="38"/>
      <c r="C6" s="38"/>
      <c r="D6" s="38"/>
    </row>
    <row r="7" spans="1:4" ht="18" customHeight="1" x14ac:dyDescent="0.3">
      <c r="A7" s="38"/>
      <c r="B7" s="38"/>
      <c r="C7" s="38"/>
      <c r="D7" s="38"/>
    </row>
    <row r="8" spans="1:4" ht="18" customHeight="1" x14ac:dyDescent="0.3">
      <c r="A8" s="38"/>
      <c r="B8" s="38"/>
      <c r="C8" s="38"/>
      <c r="D8" s="38"/>
    </row>
    <row r="9" spans="1:4" ht="18" customHeight="1" x14ac:dyDescent="0.3">
      <c r="A9" s="38"/>
      <c r="B9" s="38"/>
      <c r="C9" s="38"/>
      <c r="D9" s="38"/>
    </row>
    <row r="10" spans="1:4" ht="18" customHeight="1" x14ac:dyDescent="0.3">
      <c r="A10" s="38"/>
      <c r="B10" s="38"/>
      <c r="C10" s="38"/>
      <c r="D10" s="38"/>
    </row>
    <row r="11" spans="1:4" ht="18" customHeight="1" thickBot="1" x14ac:dyDescent="0.35">
      <c r="A11" s="38"/>
      <c r="B11" s="38"/>
      <c r="C11" s="38"/>
      <c r="D11" s="38"/>
    </row>
    <row r="12" spans="1:4" ht="18" customHeight="1" thickBot="1" x14ac:dyDescent="0.35">
      <c r="A12" s="37"/>
      <c r="B12" s="37"/>
      <c r="C12" s="37"/>
      <c r="D12" s="37"/>
    </row>
    <row r="13" spans="1:4" x14ac:dyDescent="0.3">
      <c r="A13" s="39" t="s">
        <v>191</v>
      </c>
      <c r="B13" s="39" t="s">
        <v>191</v>
      </c>
      <c r="C13" s="39" t="s">
        <v>192</v>
      </c>
      <c r="D13" s="39" t="s">
        <v>191</v>
      </c>
    </row>
    <row r="14" spans="1:4" ht="15" thickBot="1" x14ac:dyDescent="0.35"/>
    <row r="15" spans="1:4" ht="18" customHeight="1" thickBot="1" x14ac:dyDescent="0.35">
      <c r="A15" s="37"/>
      <c r="B15" s="37"/>
      <c r="C15" s="37"/>
      <c r="D15" s="37"/>
    </row>
    <row r="16" spans="1:4" ht="18" customHeight="1" x14ac:dyDescent="0.3">
      <c r="A16" s="38"/>
      <c r="B16" s="38"/>
      <c r="C16" s="38"/>
      <c r="D16" s="38"/>
    </row>
    <row r="17" spans="1:4" ht="18" customHeight="1" x14ac:dyDescent="0.3">
      <c r="A17" s="38"/>
      <c r="B17" s="38"/>
      <c r="C17" s="38"/>
      <c r="D17" s="38"/>
    </row>
    <row r="18" spans="1:4" ht="18" customHeight="1" x14ac:dyDescent="0.3">
      <c r="A18" s="38"/>
      <c r="B18" s="38"/>
      <c r="C18" s="38"/>
      <c r="D18" s="38"/>
    </row>
    <row r="19" spans="1:4" ht="18" customHeight="1" x14ac:dyDescent="0.3">
      <c r="A19" s="38"/>
      <c r="B19" s="38"/>
      <c r="C19" s="38"/>
      <c r="D19" s="38"/>
    </row>
    <row r="20" spans="1:4" ht="18" customHeight="1" x14ac:dyDescent="0.3">
      <c r="A20" s="38"/>
      <c r="B20" s="38"/>
      <c r="C20" s="38"/>
      <c r="D20" s="38"/>
    </row>
    <row r="21" spans="1:4" ht="18" customHeight="1" x14ac:dyDescent="0.3">
      <c r="A21" s="38"/>
      <c r="B21" s="38"/>
      <c r="C21" s="38"/>
      <c r="D21" s="38"/>
    </row>
    <row r="22" spans="1:4" ht="18" customHeight="1" x14ac:dyDescent="0.3">
      <c r="A22" s="38"/>
      <c r="B22" s="38"/>
      <c r="C22" s="38"/>
      <c r="D22" s="38"/>
    </row>
    <row r="23" spans="1:4" ht="18" customHeight="1" x14ac:dyDescent="0.3">
      <c r="A23" s="38"/>
      <c r="B23" s="38"/>
      <c r="C23" s="38"/>
      <c r="D23" s="38"/>
    </row>
    <row r="24" spans="1:4" ht="18" customHeight="1" x14ac:dyDescent="0.3">
      <c r="A24" s="37"/>
      <c r="B24" s="37"/>
      <c r="C24" s="37"/>
      <c r="D24" s="37"/>
    </row>
    <row r="25" spans="1:4" x14ac:dyDescent="0.3">
      <c r="A25" s="39" t="s">
        <v>191</v>
      </c>
      <c r="B25" s="39" t="s">
        <v>192</v>
      </c>
      <c r="C25" s="39" t="s">
        <v>193</v>
      </c>
      <c r="D25" s="39" t="s">
        <v>193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 r:id="rId1"/>
  <headerFooter>
    <oddHeader>&amp;C&amp;K8B8000&amp;10&amp;"Calibri"Confidential External - مقيد (خارجي)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H21"/>
  <sheetViews>
    <sheetView rightToLeft="1" workbookViewId="0"/>
  </sheetViews>
  <sheetFormatPr defaultColWidth="8.6640625" defaultRowHeight="14.4" x14ac:dyDescent="0.3"/>
  <cols>
    <col min="1" max="8" width="20" customWidth="1"/>
  </cols>
  <sheetData>
    <row r="1" spans="1:8" x14ac:dyDescent="0.3">
      <c r="A1" s="40" t="s">
        <v>91</v>
      </c>
      <c r="B1" s="40" t="s">
        <v>92</v>
      </c>
      <c r="C1" s="40" t="s">
        <v>55</v>
      </c>
      <c r="D1" s="40" t="s">
        <v>93</v>
      </c>
      <c r="E1" s="40" t="s">
        <v>3</v>
      </c>
      <c r="F1" s="40" t="s">
        <v>94</v>
      </c>
      <c r="G1" s="40" t="s">
        <v>65</v>
      </c>
      <c r="H1" s="40" t="s">
        <v>26</v>
      </c>
    </row>
    <row r="2" spans="1:8" x14ac:dyDescent="0.3">
      <c r="A2" s="41" t="s">
        <v>35</v>
      </c>
      <c r="B2" s="41" t="s">
        <v>77</v>
      </c>
      <c r="C2" s="41" t="s">
        <v>60</v>
      </c>
      <c r="D2" s="41" t="s">
        <v>50</v>
      </c>
      <c r="E2" s="41" t="s">
        <v>4</v>
      </c>
      <c r="F2" s="41" t="s">
        <v>70</v>
      </c>
      <c r="G2" s="41" t="s">
        <v>71</v>
      </c>
      <c r="H2" s="41" t="s">
        <v>34</v>
      </c>
    </row>
    <row r="3" spans="1:8" x14ac:dyDescent="0.3">
      <c r="A3" s="41" t="s">
        <v>37</v>
      </c>
      <c r="B3" s="41" t="s">
        <v>72</v>
      </c>
      <c r="C3" s="41" t="s">
        <v>95</v>
      </c>
      <c r="D3" s="41" t="s">
        <v>47</v>
      </c>
      <c r="E3" s="41" t="s">
        <v>96</v>
      </c>
      <c r="F3" s="41" t="s">
        <v>97</v>
      </c>
      <c r="G3" s="41" t="s">
        <v>76</v>
      </c>
      <c r="H3" s="41" t="s">
        <v>36</v>
      </c>
    </row>
    <row r="4" spans="1:8" x14ac:dyDescent="0.3">
      <c r="A4" s="41" t="s">
        <v>98</v>
      </c>
      <c r="B4" s="41" t="s">
        <v>74</v>
      </c>
      <c r="C4" s="41" t="s">
        <v>99</v>
      </c>
      <c r="D4" s="41" t="s">
        <v>48</v>
      </c>
      <c r="F4" s="41" t="s">
        <v>75</v>
      </c>
      <c r="G4" s="41" t="s">
        <v>100</v>
      </c>
      <c r="H4" s="41" t="s">
        <v>38</v>
      </c>
    </row>
    <row r="5" spans="1:8" x14ac:dyDescent="0.3">
      <c r="A5" s="41" t="s">
        <v>101</v>
      </c>
      <c r="B5" s="41" t="s">
        <v>102</v>
      </c>
      <c r="C5" s="41" t="s">
        <v>103</v>
      </c>
      <c r="D5" s="41" t="s">
        <v>102</v>
      </c>
      <c r="F5" s="41" t="s">
        <v>104</v>
      </c>
      <c r="H5" s="41" t="s">
        <v>49</v>
      </c>
    </row>
    <row r="6" spans="1:8" x14ac:dyDescent="0.3">
      <c r="A6" s="41" t="s">
        <v>105</v>
      </c>
      <c r="B6" s="41" t="s">
        <v>106</v>
      </c>
      <c r="C6" s="41" t="s">
        <v>107</v>
      </c>
      <c r="F6" s="41" t="s">
        <v>73</v>
      </c>
      <c r="H6" s="41" t="s">
        <v>108</v>
      </c>
    </row>
    <row r="7" spans="1:8" x14ac:dyDescent="0.3">
      <c r="A7" s="41" t="s">
        <v>109</v>
      </c>
      <c r="B7" s="41" t="s">
        <v>110</v>
      </c>
      <c r="F7" s="41" t="s">
        <v>111</v>
      </c>
      <c r="H7" s="41" t="s">
        <v>112</v>
      </c>
    </row>
    <row r="8" spans="1:8" x14ac:dyDescent="0.3">
      <c r="A8" s="41" t="s">
        <v>113</v>
      </c>
      <c r="B8" s="41" t="s">
        <v>114</v>
      </c>
      <c r="F8" s="41" t="s">
        <v>115</v>
      </c>
    </row>
    <row r="9" spans="1:8" x14ac:dyDescent="0.3">
      <c r="F9" s="41" t="s">
        <v>116</v>
      </c>
    </row>
    <row r="12" spans="1:8" ht="19.5" customHeight="1" x14ac:dyDescent="0.3">
      <c r="A12" s="90" t="s">
        <v>117</v>
      </c>
      <c r="B12" s="90"/>
      <c r="C12" s="90"/>
      <c r="D12" s="90"/>
      <c r="E12" s="90"/>
      <c r="F12" s="90"/>
      <c r="G12" s="90"/>
      <c r="H12" s="90"/>
    </row>
    <row r="13" spans="1:8" ht="19.5" customHeight="1" x14ac:dyDescent="0.3">
      <c r="A13" s="88" t="s">
        <v>118</v>
      </c>
      <c r="B13" s="88"/>
      <c r="C13" s="88"/>
      <c r="D13" s="88"/>
      <c r="E13" s="88"/>
      <c r="F13" s="88"/>
      <c r="G13" s="88"/>
      <c r="H13" s="88"/>
    </row>
    <row r="14" spans="1:8" ht="19.5" customHeight="1" x14ac:dyDescent="0.3">
      <c r="A14" s="89" t="s">
        <v>119</v>
      </c>
      <c r="B14" s="89"/>
      <c r="C14" s="89"/>
      <c r="D14" s="89"/>
      <c r="E14" s="89"/>
      <c r="F14" s="89"/>
      <c r="G14" s="89"/>
      <c r="H14" s="89"/>
    </row>
    <row r="15" spans="1:8" ht="19.5" customHeight="1" x14ac:dyDescent="0.3">
      <c r="A15" s="88" t="s">
        <v>120</v>
      </c>
      <c r="B15" s="88"/>
      <c r="C15" s="88"/>
      <c r="D15" s="88"/>
      <c r="E15" s="88"/>
      <c r="F15" s="88"/>
      <c r="G15" s="88"/>
      <c r="H15" s="88"/>
    </row>
    <row r="16" spans="1:8" ht="19.5" customHeight="1" x14ac:dyDescent="0.3">
      <c r="A16" s="89" t="s">
        <v>121</v>
      </c>
      <c r="B16" s="89"/>
      <c r="C16" s="89"/>
      <c r="D16" s="89"/>
      <c r="E16" s="89"/>
      <c r="F16" s="89"/>
      <c r="G16" s="89"/>
      <c r="H16" s="89"/>
    </row>
    <row r="17" spans="1:8" ht="19.5" customHeight="1" x14ac:dyDescent="0.3">
      <c r="A17" s="88" t="s">
        <v>122</v>
      </c>
      <c r="B17" s="88"/>
      <c r="C17" s="88"/>
      <c r="D17" s="88"/>
      <c r="E17" s="88"/>
      <c r="F17" s="88"/>
      <c r="G17" s="88"/>
      <c r="H17" s="88"/>
    </row>
    <row r="18" spans="1:8" ht="19.5" customHeight="1" x14ac:dyDescent="0.3">
      <c r="A18" s="89" t="s">
        <v>123</v>
      </c>
      <c r="B18" s="89"/>
      <c r="C18" s="89"/>
      <c r="D18" s="89"/>
      <c r="E18" s="89"/>
      <c r="F18" s="89"/>
      <c r="G18" s="89"/>
      <c r="H18" s="89"/>
    </row>
    <row r="19" spans="1:8" ht="19.5" customHeight="1" x14ac:dyDescent="0.3">
      <c r="A19" s="88" t="s">
        <v>124</v>
      </c>
      <c r="B19" s="88"/>
      <c r="C19" s="88"/>
      <c r="D19" s="88"/>
      <c r="E19" s="88"/>
      <c r="F19" s="88"/>
      <c r="G19" s="88"/>
      <c r="H19" s="88"/>
    </row>
    <row r="20" spans="1:8" ht="19.5" customHeight="1" x14ac:dyDescent="0.3">
      <c r="A20" s="89" t="s">
        <v>125</v>
      </c>
      <c r="B20" s="89"/>
      <c r="C20" s="89"/>
      <c r="D20" s="89"/>
      <c r="E20" s="89"/>
      <c r="F20" s="89"/>
      <c r="G20" s="89"/>
      <c r="H20" s="89"/>
    </row>
    <row r="21" spans="1:8" ht="19.5" customHeight="1" x14ac:dyDescent="0.3">
      <c r="A21" s="88" t="s">
        <v>126</v>
      </c>
      <c r="B21" s="88"/>
      <c r="C21" s="88"/>
      <c r="D21" s="88"/>
      <c r="E21" s="88"/>
      <c r="F21" s="88"/>
      <c r="G21" s="88"/>
      <c r="H21" s="88"/>
    </row>
  </sheetData>
  <mergeCells count="10"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</mergeCells>
  <pageMargins left="0.75" right="0.75" top="1" bottom="1" header="0.511811023622047" footer="0.511811023622047"/>
  <pageSetup paperSize="9" orientation="portrait" horizontalDpi="300" verticalDpi="300" r:id="rId1"/>
  <headerFooter>
    <oddHeader>&amp;C&amp;K8B8000&amp;10&amp;"Calibri"Confidential External - مقيد (خارجي)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a60ef9e-d20a-46b9-994f-5d20ba05571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E3279F05511447A3E77162768FA9CB" ma:contentTypeVersion="16" ma:contentTypeDescription="Create a new document." ma:contentTypeScope="" ma:versionID="0dfad4fe14067f4c6b85f605e7bcccbd">
  <xsd:schema xmlns:xsd="http://www.w3.org/2001/XMLSchema" xmlns:xs="http://www.w3.org/2001/XMLSchema" xmlns:p="http://schemas.microsoft.com/office/2006/metadata/properties" xmlns:ns3="5a60ef9e-d20a-46b9-994f-5d20ba05571b" xmlns:ns4="c91007ed-db20-464f-9823-d01b843a3eb1" targetNamespace="http://schemas.microsoft.com/office/2006/metadata/properties" ma:root="true" ma:fieldsID="6755bd177719f4a2dd34528a4ccdd74d" ns3:_="" ns4:_="">
    <xsd:import namespace="5a60ef9e-d20a-46b9-994f-5d20ba05571b"/>
    <xsd:import namespace="c91007ed-db20-464f-9823-d01b843a3eb1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60ef9e-d20a-46b9-994f-5d20ba05571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007ed-db20-464f-9823-d01b843a3eb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6A5F42-A3FC-4838-8BEB-6E2837521DFD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c91007ed-db20-464f-9823-d01b843a3eb1"/>
    <ds:schemaRef ds:uri="5a60ef9e-d20a-46b9-994f-5d20ba05571b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52830A5-0811-40DE-8BBE-32EDC533D0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60ef9e-d20a-46b9-994f-5d20ba05571b"/>
    <ds:schemaRef ds:uri="c91007ed-db20-464f-9823-d01b843a3e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36746F-3534-469C-9F0C-0D0D2179DE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تقرير المشروع</vt:lpstr>
      <vt:lpstr>سجل الإنجاز اليومي</vt:lpstr>
      <vt:lpstr>صور التنفيذ بالموقع</vt:lpstr>
      <vt:lpstr>القوائم</vt:lpstr>
      <vt:lpstr>'تقرير المشروع'!Print_Area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vd pdc-mak</cp:lastModifiedBy>
  <cp:revision>1</cp:revision>
  <dcterms:created xsi:type="dcterms:W3CDTF">2026-08-17T10:52:04Z</dcterms:created>
  <dcterms:modified xsi:type="dcterms:W3CDTF">2026-10-06T12:16:29Z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ew0KICAidGFnc2V0XzAwNGRlYTMzXzg3NTFfNDM5OV9hNzZlXzk1ZjM3MWNiNDExOV9kaXN0cmlidXRpb24iOiAiRXh0ZXJuYWwiLA0KICAidGFnc2V0X2UxNjQwOWE3XzE3MDBfNDE1M185MDkwXzM5NTViYzJmMGFlOF9jbGFzc2lmaWNhdGlvbiI6ICJDb25maWRl</vt:lpwstr>
  </property>
  <property fmtid="{D5CDD505-2E9C-101B-9397-08002B2CF9AE}" pid="3" name="GVData0">
    <vt:lpwstr>bnRpYWwiLA0KICAiZG9jSUQiOiAiMDEyMzI3MTMtZTkxYi00NTg0LThjNGMtN2ZlOGUzZGJiYTU1IiwNCiAgIk9TIjogIldpbmRvd3MiLA0KICAiT3B0aW9ucyI6ICJ7XHUwMDIyUG9wdXBDb25maWd1cmF0aW9uXHUwMDIyOntcdTAwMjJBbHdheXNTaG93UG9wdXBc</vt:lpwstr>
  </property>
  <property fmtid="{D5CDD505-2E9C-101B-9397-08002B2CF9AE}" pid="4" name="CurrentState">
    <vt:lpwstr>{"FirstPageDifferent":false,"DifferentOddAndEvenPages":false,"PageCount":4,"HeaderMetadata":"{\"Left\":\"\",\"Center\":\"Confidential External - مقيد (خارجي)\",\"Right\":\"\"}","ThirdPartyHeaderMetadata":"","GVHeaderExists":true,"NonGVHeaderExists":false,</vt:lpwstr>
  </property>
  <property fmtid="{D5CDD505-2E9C-101B-9397-08002B2CF9AE}" pid="5" name="3rdPartyHeader">
    <vt:lpwstr/>
  </property>
  <property fmtid="{D5CDD505-2E9C-101B-9397-08002B2CF9AE}" pid="6" name="Header">
    <vt:lpwstr>{"Left":"","Center":"Confidential External - مقيد (خارجي)","Right":""}</vt:lpwstr>
  </property>
  <property fmtid="{D5CDD505-2E9C-101B-9397-08002B2CF9AE}" pid="7" name="GVData1">
    <vt:lpwstr>dTAwMjI6ZmFsc2UsXHUwMDIyRW5mb3JjZUhlYWRlckZvb3RlclR5cGVcdTAwMjI6ZmFsc2UsXHUwMDIySGVhZGVyUGxhY2VtZW50VHlwZVx1MDAyMjowLFx1MDAyMkZvb3RlclBsYWNlbWVudFR5cGVcdTAwMjI6MCxcdTAwMjJFbmZvcmNlTGF5b3V0T3B0aW9uXHUw</vt:lpwstr>
  </property>
  <property fmtid="{D5CDD505-2E9C-101B-9397-08002B2CF9AE}" pid="8" name="ClassificationTagSetId">
    <vt:lpwstr>e16409a7-1700-4153-9090-3955bc2f0ae8</vt:lpwstr>
  </property>
  <property fmtid="{D5CDD505-2E9C-101B-9397-08002B2CF9AE}" pid="9" name="Classification">
    <vt:lpwstr>مقيد / Confidential</vt:lpwstr>
  </property>
  <property fmtid="{D5CDD505-2E9C-101B-9397-08002B2CF9AE}" pid="10" name="ComplianceTagSetId">
    <vt:lpwstr>f14fc1f1-8950-40d5-8a29-45909da947d6</vt:lpwstr>
  </property>
  <property fmtid="{D5CDD505-2E9C-101B-9397-08002B2CF9AE}" pid="11" name="FileId">
    <vt:lpwstr>01232713-e91b-4584-8c4c-7fe8e3dbba55</vt:lpwstr>
  </property>
  <property fmtid="{D5CDD505-2E9C-101B-9397-08002B2CF9AE}" pid="12" name="UserId">
    <vt:lpwstr>LOCAL SERVICE</vt:lpwstr>
  </property>
  <property fmtid="{D5CDD505-2E9C-101B-9397-08002B2CF9AE}" pid="13" name="TagDateTime">
    <vt:lpwstr>2026-09-06T07:54:22Z</vt:lpwstr>
  </property>
  <property fmtid="{D5CDD505-2E9C-101B-9397-08002B2CF9AE}" pid="14" name="Distribution">
    <vt:lpwstr>خارجي / External</vt:lpwstr>
  </property>
  <property fmtid="{D5CDD505-2E9C-101B-9397-08002B2CF9AE}" pid="15" name="ClassificationHash">
    <vt:lpwstr>073665fa-e4f2-f3fd-282e-c7919988200f</vt:lpwstr>
  </property>
  <property fmtid="{D5CDD505-2E9C-101B-9397-08002B2CF9AE}" pid="16" name="DistributionHash">
    <vt:lpwstr>ec0cbdcb-4374-68a0-5fbc-ae8e73731f69</vt:lpwstr>
  </property>
  <property fmtid="{D5CDD505-2E9C-101B-9397-08002B2CF9AE}" pid="17" name="GVData2">
    <vt:lpwstr>MDIyOnRydWUsXHUwMDIyTGF5b3V0T3B0aW9uXHUwMDIyOjAsXHUwMDIyVHJpZ2dlck51bWJlclx1MDAyMjowLFx1MDAyMkZyb21JbmRleFx1MDAyMjowLFx1MDAyMlRvSW5kZXhcdTAwMjI6MCxcdTAwMjJFbmZvcmNlT3ZlcndyaXRlT3B0aW9uXHUwMDIyOnRydWUs</vt:lpwstr>
  </property>
  <property fmtid="{D5CDD505-2E9C-101B-9397-08002B2CF9AE}" pid="18" name="GVData3">
    <vt:lpwstr>XHUwMDIyT3ZlcndyaXRlT3B0aW9uXHUwMDIyOjB9LFx1MDAyMkhlYWRlckVuYWJsZWRcdTAwMjI6dHJ1ZSxcdTAwMjJIZWFkZXJcdTAwMjI6XHUwMDIyXHUwMDNDc3BhbiBzdHlsZT1cXFx1MDAyMmNvbG9yOiM4QjgwMDA7XFxcdTAwMjJcdTAwM0VcdTAwM0NzcGFu</vt:lpwstr>
  </property>
  <property fmtid="{D5CDD505-2E9C-101B-9397-08002B2CF9AE}" pid="19" name="GVData4">
    <vt:lpwstr>XHUwMDNFQ29uZmlkZW50aWFsIEV4dGVybmFsIC0gXHUwNjQ1XHUwNjQyXHUwNjRBXHUwNjJGIChcdTA2MkVcdTA2MjdcdTA2MzFcdTA2MkNcdTA2NEEpXHUwMDNDL3NwYW5cdTAwM0VcdTAwM0Mvc3Bhblx1MDAzRVx1MDAyMixcdTAwMjJIZWFkZXJzXHUwMDIyOltc</vt:lpwstr>
  </property>
  <property fmtid="{D5CDD505-2E9C-101B-9397-08002B2CF9AE}" pid="20" name="GVData5">
    <vt:lpwstr>dTAwMjJcdTAwM0NzcGFuIHN0eWxlPVxcXHUwMDIyY29sb3I6IzhCODAwMDtcXFx1MDAyMlx1MDAzRVx1MDAzQ3NwYW5cdTAwM0VDb25maWRlbnRpYWwgRXh0ZXJuYWwgLSBcdTA2NDVcdTA2NDJcdTA2NEFcdTA2MkYgKFx1MDYyRVx1MDYyN1x1MDYzMVx1MDYyQ1x1</vt:lpwstr>
  </property>
  <property fmtid="{D5CDD505-2E9C-101B-9397-08002B2CF9AE}" pid="21" name="GVData6">
    <vt:lpwstr>MDY0QSlcdTAwM0Mvc3Bhblx1MDAzRVx1MDAzQy9zcGFuXHUwMDNFXHUwMDIyXSxcdTAwMjJIZWFkZXJUeXBlXHUwMDIyOjAsXHUwMDIySGVhZGVyVHlwZXNBbGxvd2VkXHUwMDIyOlswLDFdLFx1MDAyMkhlYWRlclVwZGF0ZVR5cGVcdTAwMjI6MSxcdTAwMjJGb290</vt:lpwstr>
  </property>
  <property fmtid="{D5CDD505-2E9C-101B-9397-08002B2CF9AE}" pid="22" name="GVData7">
    <vt:lpwstr>ZXJFbmFibGVkXHUwMDIyOmZhbHNlLFx1MDAyMkZvb3Rlclx1MDAyMjpcdTAwMjJcdTAwMjIsXHUwMDIyRm9vdGVyc1x1MDAyMjpbXHUwMDIyXHUwMDIyXSxcdTAwMjJGb290ZXJUeXBlXHUwMDIyOjIsXHUwMDIyRm9vdGVyVHlwZXNBbGxvd2VkXHUwMDIyOlsyXSxc</vt:lpwstr>
  </property>
  <property fmtid="{D5CDD505-2E9C-101B-9397-08002B2CF9AE}" pid="23" name="GVData8">
    <vt:lpwstr>dTAwMjJGb290ZXJVcGRhdGVUeXBlXHUwMDIyOjAsXHUwMDIyV2F0ZXJtYXJrXHUwMDIyOm51bGwsXHUwMDIyV2F0ZXJtYXJrRW5hYmxlZFx1MDAyMjpmYWxzZSxcdTAwMjJTaG91bGRXcml0ZVdhdGVybWFya1x1MDAyMjpmYWxzZSxcdTAwMjJXYXRlcm1hcmtVcGRh</vt:lpwstr>
  </property>
  <property fmtid="{D5CDD505-2E9C-101B-9397-08002B2CF9AE}" pid="24" name="GVData9">
    <vt:lpwstr>dGVUeXBlXHUwMDIyOjAsXHUwMDIyUG93ZXJwb2ludFRpdGxlXHUwMDIyOm51bGwsXHUwMDIyUG93ZXJwb2ludFN1Yml0bGVcdTAwMjI6bnVsbH0iLA0KICAiU3RhdGUiOiAie1x1MDAyMkZpcnN0UGFnZURpZmZlcmVudFx1MDAyMjpmYWxzZSxcdTAwMjJEaWZmZXJl</vt:lpwstr>
  </property>
  <property fmtid="{D5CDD505-2E9C-101B-9397-08002B2CF9AE}" pid="25" name="GVData10">
    <vt:lpwstr>bnRPZGRBbmRFdmVuUGFnZXNcdTAwMjI6ZmFsc2UsXHUwMDIyUGFnZUNvdW50XHUwMDIyOjQsXHUwMDIySGVhZGVyTWV0YWRhdGFcdTAwMjI6XHUwMDIye1xcXHUwMDIyTGVmdFxcXHUwMDIyOlxcXHUwMDIyXFxcdTAwMjIsXFxcdTAwMjJDZW50ZXJcXFx1MDAyMjpc</vt:lpwstr>
  </property>
  <property fmtid="{D5CDD505-2E9C-101B-9397-08002B2CF9AE}" pid="26" name="GVData11">
    <vt:lpwstr>XFx1MDAyMkNvbmZpZGVudGlhbCBFeHRlcm5hbCAtIFx1MDY0NVx1MDY0Mlx1MDY0QVx1MDYyRiAoXHUwNjJFXHUwNjI3XHUwNjMxXHUwNjJDXHUwNjRBKVxcXHUwMDIyLFxcXHUwMDIyUmlnaHRcXFx1MDAyMjpcXFx1MDAyMlxcXHUwMDIyfVx1MDAyMixcdTAwMjJU</vt:lpwstr>
  </property>
  <property fmtid="{D5CDD505-2E9C-101B-9397-08002B2CF9AE}" pid="27" name="GVData12">
    <vt:lpwstr>aGlyZFBhcnR5SGVhZGVyTWV0YWRhdGFcdTAwMjI6XHUwMDIyXHUwMDIyLFx1MDAyMkdWSGVhZGVyRXhpc3RzXHUwMDIyOnRydWUsXHUwMDIyTm9uR1ZIZWFkZXJFeGlzdHNcdTAwMjI6ZmFsc2UsXHUwMDIyRmxvYXRpbmdIZWFkZXJFeGlzdHNcdTAwMjI6ZmFsc2Us</vt:lpwstr>
  </property>
  <property fmtid="{D5CDD505-2E9C-101B-9397-08002B2CF9AE}" pid="28" name="GVData13">
    <vt:lpwstr>XHUwMDIyTm9uR1ZIZWFkZXJTaGFwZUV4aXN0c1x1MDAyMjpmYWxzZSxcdTAwMjJUaGlyZFBhcnR5SGVhZGVyc1x1MDAyMjpbXSxcdTAwMjJGb290ZXJNZXRhZGF0YVx1MDAyMjpcdTAwMjJcdTAwMjIsXHUwMDIyVGhpcmRQYXJ0eUZvb3Rlck1ldGFkYXRhXHUwMDIy</vt:lpwstr>
  </property>
  <property fmtid="{D5CDD505-2E9C-101B-9397-08002B2CF9AE}" pid="29" name="GVData14">
    <vt:lpwstr>Olx1MDAyMlx1MDAyMixcdTAwMjJHVkZvb3RlckV4aXN0c1x1MDAyMjpmYWxzZSxcdTAwMjJOb25HVkZvb3RlckV4aXN0c1x1MDAyMjpmYWxzZSxcdTAwMjJGbG9hdGluZ0Zvb3RlckV4aXN0c1x1MDAyMjpmYWxzZSxcdTAwMjJOb25HVkZvb3RlclNoYXBlRXhpc3Rz</vt:lpwstr>
  </property>
  <property fmtid="{D5CDD505-2E9C-101B-9397-08002B2CF9AE}" pid="30" name="GVData15">
    <vt:lpwstr>XHUwMDIyOmZhbHNlLFx1MDAyMlRoaXJkUGFydHlGb290ZXJzXHUwMDIyOltdLFx1MDAyMldhdGVybWFya01ldGFkYXRhXHUwMDIyOlx1MDAyMlx1MDAyMixcdTAwMjJXYXRlcm1hcmtFeGlzdHNcdTAwMjI6ZmFsc2UsXHUwMDIyUG93ZXJwb2ludFRpdGxlTWV0YWRh</vt:lpwstr>
  </property>
  <property fmtid="{D5CDD505-2E9C-101B-9397-08002B2CF9AE}" pid="31" name="GVData16">
    <vt:lpwstr>dGFcdTAwMjI6bnVsbCxcdTAwMjJQb3dlcnBvaW50U3VidGl0bGVNZXRhZGF0YVx1MDAyMjpudWxsLFx1MDAyMlRoaXJkUGFydHlNZXRhZGF0YUZvdW5kXHUwMDIyOmZhbHNlfSINCn0=</vt:lpwstr>
  </property>
  <property fmtid="{D5CDD505-2E9C-101B-9397-08002B2CF9AE}" pid="32" name="GVData17">
    <vt:lpwstr>(end)</vt:lpwstr>
  </property>
  <property fmtid="{D5CDD505-2E9C-101B-9397-08002B2CF9AE}" pid="33" name="ContentTypeId">
    <vt:lpwstr>0x010100BBE3279F05511447A3E77162768FA9CB</vt:lpwstr>
  </property>
  <property fmtid="{D5CDD505-2E9C-101B-9397-08002B2CF9AE}" pid="34" name="SecloreClassification">
    <vt:lpwstr>{"SEC Production PolicyServer (c0b6d3ad5a1a6802de2eb0091d64205110aa8c73)":{"ClassificationDisplayName":"Public Internal - عام (داخلي)","ClassificationMode":"ClassificationMode_UserDriven","LabelId":"100032","Version":"1"}}</vt:lpwstr>
  </property>
  <property fmtid="{D5CDD505-2E9C-101B-9397-08002B2CF9AE}" pid="35" name="SecloreClassificationDisplayName_c0b6d3ad5a1a6802de2eb0091d64205110aa8c73">
    <vt:lpwstr>Public Internal - عام (داخلي)</vt:lpwstr>
  </property>
  <property fmtid="{D5CDD505-2E9C-101B-9397-08002B2CF9AE}" pid="36" name="SecloreClassificationHeaderTextValue">
    <vt:lpwstr>Public Internal - عام (داخلي)</vt:lpwstr>
  </property>
  <property fmtid="{D5CDD505-2E9C-101B-9397-08002B2CF9AE}" pid="37" name="SecloreClassificationHeaderColorHex">
    <vt:lpwstr>#3a751e</vt:lpwstr>
  </property>
  <property fmtid="{D5CDD505-2E9C-101B-9397-08002B2CF9AE}" pid="38" name="SecloreClassificationHeaderFontSize">
    <vt:lpwstr>10</vt:lpwstr>
  </property>
  <property fmtid="{D5CDD505-2E9C-101B-9397-08002B2CF9AE}" pid="39" name="SecloreClassificationHeaderAlignment">
    <vt:lpwstr>Left</vt:lpwstr>
  </property>
</Properties>
</file>